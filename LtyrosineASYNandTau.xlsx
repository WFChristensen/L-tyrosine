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fc1970/Library/CloudStorage/Box-Box/Statistics-WFC1970/Documents/research/Cox/"/>
    </mc:Choice>
  </mc:AlternateContent>
  <xr:revisionPtr revIDLastSave="0" documentId="13_ncr:1_{7C949846-E6A9-DD4C-B7C7-5C078374B3AA}" xr6:coauthVersionLast="47" xr6:coauthVersionMax="47" xr10:uidLastSave="{00000000-0000-0000-0000-000000000000}"/>
  <bookViews>
    <workbookView xWindow="37980" yWindow="2180" windowWidth="30140" windowHeight="18680" xr2:uid="{F70D9492-CB8B-A647-9CAA-DB07550D9CF8}"/>
  </bookViews>
  <sheets>
    <sheet name="ASYN and Tau exp 2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7" l="1"/>
  <c r="T45" i="7" l="1"/>
  <c r="S45" i="7"/>
  <c r="R45" i="7"/>
  <c r="Q45" i="7"/>
  <c r="O45" i="7"/>
  <c r="N45" i="7"/>
  <c r="M45" i="7"/>
  <c r="L45" i="7"/>
  <c r="J45" i="7"/>
  <c r="I45" i="7"/>
  <c r="H45" i="7"/>
  <c r="G45" i="7"/>
  <c r="E45" i="7"/>
  <c r="D45" i="7"/>
  <c r="C45" i="7"/>
  <c r="V45" i="7" s="1"/>
  <c r="B44" i="7"/>
  <c r="R44" i="7" l="1"/>
  <c r="T44" i="7" l="1"/>
  <c r="S44" i="7"/>
  <c r="Q44" i="7"/>
  <c r="O44" i="7"/>
  <c r="N44" i="7"/>
  <c r="M44" i="7"/>
  <c r="L44" i="7"/>
  <c r="J44" i="7"/>
  <c r="I44" i="7"/>
  <c r="H44" i="7"/>
  <c r="G44" i="7"/>
  <c r="E44" i="7"/>
  <c r="D44" i="7"/>
  <c r="C44" i="7"/>
  <c r="V44" i="7" s="1"/>
  <c r="V42" i="7"/>
  <c r="V41" i="7"/>
  <c r="V40" i="7"/>
  <c r="V39" i="7"/>
  <c r="I35" i="7"/>
  <c r="T33" i="7"/>
  <c r="S33" i="7"/>
  <c r="R33" i="7"/>
  <c r="Q33" i="7"/>
  <c r="O33" i="7"/>
  <c r="N33" i="7"/>
  <c r="M33" i="7"/>
  <c r="L33" i="7"/>
  <c r="J33" i="7"/>
  <c r="I33" i="7"/>
  <c r="H33" i="7"/>
  <c r="G33" i="7"/>
  <c r="E33" i="7"/>
  <c r="D33" i="7"/>
  <c r="C33" i="7"/>
  <c r="B33" i="7"/>
  <c r="T32" i="7"/>
  <c r="S32" i="7"/>
  <c r="R32" i="7"/>
  <c r="Q32" i="7"/>
  <c r="O32" i="7"/>
  <c r="N32" i="7"/>
  <c r="M32" i="7"/>
  <c r="M36" i="7" s="1"/>
  <c r="L32" i="7"/>
  <c r="J32" i="7"/>
  <c r="I32" i="7"/>
  <c r="I36" i="7" s="1"/>
  <c r="H32" i="7"/>
  <c r="H36" i="7" s="1"/>
  <c r="G32" i="7"/>
  <c r="E32" i="7"/>
  <c r="D32" i="7"/>
  <c r="C32" i="7"/>
  <c r="C36" i="7" s="1"/>
  <c r="B32" i="7"/>
  <c r="V31" i="7"/>
  <c r="V30" i="7"/>
  <c r="V27" i="7"/>
  <c r="V26" i="7"/>
  <c r="V25" i="7"/>
  <c r="V22" i="7"/>
  <c r="V21" i="7"/>
  <c r="V20" i="7"/>
  <c r="V19" i="7"/>
  <c r="V18" i="7"/>
  <c r="V15" i="7"/>
  <c r="V12" i="7"/>
  <c r="V11" i="7"/>
  <c r="V10" i="7"/>
  <c r="V9" i="7"/>
  <c r="V8" i="7"/>
  <c r="V4" i="7"/>
  <c r="N35" i="7" l="1"/>
  <c r="N36" i="7"/>
  <c r="O35" i="7"/>
  <c r="O36" i="7"/>
  <c r="R35" i="7"/>
  <c r="R36" i="7"/>
  <c r="S35" i="7"/>
  <c r="S36" i="7"/>
  <c r="E35" i="7"/>
  <c r="E36" i="7"/>
  <c r="G35" i="7"/>
  <c r="G36" i="7"/>
  <c r="B35" i="7"/>
  <c r="B36" i="7"/>
  <c r="T35" i="7"/>
  <c r="T36" i="7"/>
  <c r="J35" i="7"/>
  <c r="J36" i="7"/>
  <c r="Q35" i="7"/>
  <c r="Q36" i="7"/>
  <c r="D35" i="7"/>
  <c r="D36" i="7"/>
  <c r="L35" i="7"/>
  <c r="L36" i="7"/>
  <c r="C35" i="7"/>
  <c r="H35" i="7"/>
  <c r="V35" i="7" s="1"/>
  <c r="M35" i="7"/>
  <c r="V33" i="7"/>
  <c r="V32" i="7"/>
  <c r="V36" i="7" l="1"/>
</calcChain>
</file>

<file path=xl/sharedStrings.xml><?xml version="1.0" encoding="utf-8"?>
<sst xmlns="http://schemas.openxmlformats.org/spreadsheetml/2006/main" count="56" uniqueCount="42">
  <si>
    <t>ID</t>
  </si>
  <si>
    <t>Sex</t>
  </si>
  <si>
    <t xml:space="preserve">Male </t>
  </si>
  <si>
    <t xml:space="preserve">Female </t>
  </si>
  <si>
    <t>Brain Weight (g)</t>
  </si>
  <si>
    <t>Male</t>
  </si>
  <si>
    <t>Female</t>
  </si>
  <si>
    <t>All Marmoset (MED)</t>
  </si>
  <si>
    <t>----</t>
  </si>
  <si>
    <t>GROUP</t>
  </si>
  <si>
    <t>1 to 4</t>
  </si>
  <si>
    <t>ASYN IHC / 200 um2</t>
  </si>
  <si>
    <t>Neocortex</t>
  </si>
  <si>
    <t xml:space="preserve">Visual (v1)  </t>
  </si>
  <si>
    <t xml:space="preserve">Visual (v2)  </t>
  </si>
  <si>
    <t xml:space="preserve">Frontal (A8)  </t>
  </si>
  <si>
    <t xml:space="preserve">Temporal (AuCrtx)  </t>
  </si>
  <si>
    <t xml:space="preserve">Parietal (PE)  </t>
  </si>
  <si>
    <t>Mesocortex</t>
  </si>
  <si>
    <t xml:space="preserve">Frontal (A11)  </t>
  </si>
  <si>
    <t xml:space="preserve">Limbic </t>
  </si>
  <si>
    <t xml:space="preserve">Ant. Entrorhinal (aENT)  </t>
  </si>
  <si>
    <t xml:space="preserve">Pos. Entrorhinal (pENT)  </t>
  </si>
  <si>
    <t xml:space="preserve">Hippocampus (CA3)     </t>
  </si>
  <si>
    <t xml:space="preserve">Amygdala (BLD)    </t>
  </si>
  <si>
    <t>Amygdala (PAL)</t>
  </si>
  <si>
    <t xml:space="preserve">Brain stem </t>
  </si>
  <si>
    <t xml:space="preserve">Substantia Nigra (SNC)    </t>
  </si>
  <si>
    <t xml:space="preserve">Medulla (4V)     </t>
  </si>
  <si>
    <t xml:space="preserve">Mid brain (MLF)    </t>
  </si>
  <si>
    <t xml:space="preserve">Spinal Cord </t>
  </si>
  <si>
    <t>Anterior Horn (20x)</t>
  </si>
  <si>
    <t>Posterior Horn (20x)</t>
  </si>
  <si>
    <t>Anterior Horn Converted (10x)</t>
  </si>
  <si>
    <t>Posterior Horn Converted (10x)</t>
  </si>
  <si>
    <t xml:space="preserve">ave ASYN/ per Marmoset </t>
  </si>
  <si>
    <t>AT8 IHC / 200 um2</t>
  </si>
  <si>
    <t>Perirhinal (A36)</t>
  </si>
  <si>
    <t xml:space="preserve">Ant. Entorhinal (ENT)  </t>
  </si>
  <si>
    <t xml:space="preserve">ave AT8/ per Marmoset </t>
  </si>
  <si>
    <t xml:space="preserve">total  AT8/ per Marmoset </t>
  </si>
  <si>
    <t xml:space="preserve">total ASYN per Marmoset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</si>
</sst>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sz val="12"/>
      <color rgb="FFFF0000"/>
      <name val="Calibri Light"/>
      <family val="2"/>
      <scheme val="major"/>
    </font>
    <font>
      <i/>
      <sz val="12"/>
      <color theme="1"/>
      <name val="Calibri Light"/>
      <family val="2"/>
      <scheme val="major"/>
    </font>
    <font>
      <i/>
      <sz val="12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2" fillId="4" borderId="0" xfId="0" quotePrefix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B4E5-3AC4-3F46-9638-53B7CC0A7984}">
  <sheetPr>
    <tabColor rgb="FF00B050"/>
  </sheetPr>
  <dimension ref="A1:AA45"/>
  <sheetViews>
    <sheetView tabSelected="1" workbookViewId="0">
      <selection activeCell="B22" sqref="B22"/>
    </sheetView>
  </sheetViews>
  <sheetFormatPr baseColWidth="10" defaultRowHeight="16" x14ac:dyDescent="0.2"/>
  <cols>
    <col min="1" max="1" width="32.5" style="1" customWidth="1"/>
    <col min="2" max="21" width="5.83203125" style="1" customWidth="1"/>
    <col min="22" max="22" width="5.83203125" style="3" customWidth="1"/>
    <col min="23" max="16384" width="10.83203125" style="1"/>
  </cols>
  <sheetData>
    <row r="1" spans="1:22" ht="17" customHeight="1" x14ac:dyDescent="0.2">
      <c r="A1" s="1" t="s">
        <v>1</v>
      </c>
      <c r="B1" s="1" t="s">
        <v>5</v>
      </c>
      <c r="C1" s="1" t="s">
        <v>5</v>
      </c>
      <c r="D1" s="1" t="s">
        <v>6</v>
      </c>
      <c r="E1" s="1" t="s">
        <v>6</v>
      </c>
      <c r="G1" s="1" t="s">
        <v>5</v>
      </c>
      <c r="H1" s="1" t="s">
        <v>5</v>
      </c>
      <c r="I1" s="1" t="s">
        <v>6</v>
      </c>
      <c r="J1" s="1" t="s">
        <v>6</v>
      </c>
      <c r="L1" s="1" t="s">
        <v>5</v>
      </c>
      <c r="M1" s="1" t="s">
        <v>2</v>
      </c>
      <c r="N1" s="1" t="s">
        <v>6</v>
      </c>
      <c r="O1" s="1" t="s">
        <v>6</v>
      </c>
      <c r="Q1" s="1" t="s">
        <v>5</v>
      </c>
      <c r="R1" s="1" t="s">
        <v>2</v>
      </c>
      <c r="S1" s="1" t="s">
        <v>6</v>
      </c>
      <c r="T1" s="1" t="s">
        <v>3</v>
      </c>
      <c r="V1" s="3" t="s">
        <v>7</v>
      </c>
    </row>
    <row r="2" spans="1:22" s="2" customFormat="1" x14ac:dyDescent="0.2">
      <c r="A2" s="2" t="s">
        <v>0</v>
      </c>
      <c r="B2" s="2">
        <v>35073</v>
      </c>
      <c r="C2" s="2">
        <v>36055</v>
      </c>
      <c r="D2" s="2">
        <v>39225</v>
      </c>
      <c r="E2" s="2">
        <v>39435</v>
      </c>
      <c r="G2" s="2">
        <v>36168</v>
      </c>
      <c r="H2" s="2">
        <v>36169</v>
      </c>
      <c r="I2" s="2">
        <v>39224</v>
      </c>
      <c r="J2" s="2">
        <v>35285</v>
      </c>
      <c r="L2" s="2">
        <v>35204</v>
      </c>
      <c r="M2" s="2">
        <v>36959</v>
      </c>
      <c r="N2" s="2">
        <v>39226</v>
      </c>
      <c r="O2" s="2">
        <v>36019</v>
      </c>
      <c r="Q2" s="2">
        <v>36018</v>
      </c>
      <c r="R2" s="2">
        <v>37155</v>
      </c>
      <c r="S2" s="2">
        <v>35438</v>
      </c>
      <c r="T2" s="2">
        <v>35074</v>
      </c>
      <c r="V2" s="5" t="s">
        <v>8</v>
      </c>
    </row>
    <row r="3" spans="1:22" x14ac:dyDescent="0.2">
      <c r="A3" s="1" t="s">
        <v>9</v>
      </c>
      <c r="B3" s="1">
        <v>1</v>
      </c>
      <c r="C3" s="1">
        <v>1</v>
      </c>
      <c r="D3" s="1">
        <v>1</v>
      </c>
      <c r="E3" s="1">
        <v>1</v>
      </c>
      <c r="G3" s="1">
        <v>2</v>
      </c>
      <c r="H3" s="1">
        <v>2</v>
      </c>
      <c r="I3" s="1">
        <v>2</v>
      </c>
      <c r="J3" s="1">
        <v>2</v>
      </c>
      <c r="L3" s="1">
        <v>3</v>
      </c>
      <c r="M3" s="1">
        <v>3</v>
      </c>
      <c r="N3" s="1">
        <v>3</v>
      </c>
      <c r="O3" s="1">
        <v>3</v>
      </c>
      <c r="Q3" s="1">
        <v>4</v>
      </c>
      <c r="R3" s="1">
        <v>4</v>
      </c>
      <c r="S3" s="1">
        <v>4</v>
      </c>
      <c r="T3" s="1">
        <v>4</v>
      </c>
      <c r="V3" s="3" t="s">
        <v>10</v>
      </c>
    </row>
    <row r="4" spans="1:22" ht="18" customHeight="1" x14ac:dyDescent="0.2">
      <c r="A4" s="1" t="s">
        <v>4</v>
      </c>
      <c r="B4" s="6">
        <v>7.61</v>
      </c>
      <c r="C4" s="6">
        <v>7.9</v>
      </c>
      <c r="D4" s="6">
        <v>7.53</v>
      </c>
      <c r="E4" s="6">
        <v>6.78</v>
      </c>
      <c r="F4" s="6"/>
      <c r="G4" s="6">
        <v>7.66</v>
      </c>
      <c r="H4" s="6">
        <v>7.74</v>
      </c>
      <c r="I4" s="6">
        <v>7.03</v>
      </c>
      <c r="J4" s="6">
        <v>7.75</v>
      </c>
      <c r="K4" s="6"/>
      <c r="L4" s="6">
        <v>7.45</v>
      </c>
      <c r="M4" s="6">
        <v>7.83</v>
      </c>
      <c r="N4" s="6">
        <v>6.47</v>
      </c>
      <c r="O4" s="6">
        <v>7.44</v>
      </c>
      <c r="P4" s="6"/>
      <c r="Q4" s="6">
        <v>7.85</v>
      </c>
      <c r="R4" s="6">
        <v>8</v>
      </c>
      <c r="S4" s="6">
        <v>7.48</v>
      </c>
      <c r="T4" s="6">
        <v>7.6</v>
      </c>
      <c r="V4" s="7">
        <f>MEDIAN(B4:T4)</f>
        <v>7.6050000000000004</v>
      </c>
    </row>
    <row r="5" spans="1:22" ht="18" customHeight="1" x14ac:dyDescent="0.2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V5" s="7"/>
    </row>
    <row r="6" spans="1:22" ht="18" customHeight="1" x14ac:dyDescent="0.2">
      <c r="A6" s="8" t="s">
        <v>11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V6" s="10"/>
    </row>
    <row r="7" spans="1:22" ht="18" customHeight="1" x14ac:dyDescent="0.2">
      <c r="A7" s="2" t="s">
        <v>12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V7" s="7"/>
    </row>
    <row r="8" spans="1:22" x14ac:dyDescent="0.2">
      <c r="A8" s="1" t="s">
        <v>13</v>
      </c>
      <c r="B8" s="3">
        <v>0</v>
      </c>
      <c r="C8" s="3">
        <v>0.2</v>
      </c>
      <c r="D8" s="3">
        <v>0</v>
      </c>
      <c r="E8" s="3">
        <v>0</v>
      </c>
      <c r="F8" s="3"/>
      <c r="G8" s="3">
        <v>9</v>
      </c>
      <c r="H8" s="3">
        <v>0</v>
      </c>
      <c r="I8" s="3">
        <v>0</v>
      </c>
      <c r="J8" s="3">
        <v>0.1</v>
      </c>
      <c r="K8" s="3"/>
      <c r="L8" s="3">
        <v>0</v>
      </c>
      <c r="M8" s="3">
        <v>0</v>
      </c>
      <c r="N8" s="3">
        <v>0</v>
      </c>
      <c r="O8" s="3">
        <v>0</v>
      </c>
      <c r="P8" s="3"/>
      <c r="Q8" s="3">
        <v>0</v>
      </c>
      <c r="R8" s="3">
        <v>0</v>
      </c>
      <c r="S8" s="3">
        <v>0</v>
      </c>
      <c r="T8" s="3">
        <v>0</v>
      </c>
      <c r="V8" s="7">
        <f t="shared" ref="V8:V27" si="0">MEDIAN(B8:T8)</f>
        <v>0</v>
      </c>
    </row>
    <row r="9" spans="1:22" x14ac:dyDescent="0.2">
      <c r="A9" s="1" t="s">
        <v>14</v>
      </c>
      <c r="B9" s="3">
        <v>20.7</v>
      </c>
      <c r="C9" s="3">
        <v>10.4</v>
      </c>
      <c r="D9" s="3">
        <v>3.5</v>
      </c>
      <c r="E9" s="3">
        <v>1.1000000000000001</v>
      </c>
      <c r="F9" s="3"/>
      <c r="G9" s="3">
        <v>16.8</v>
      </c>
      <c r="H9" s="3">
        <v>20.399999999999999</v>
      </c>
      <c r="I9" s="3">
        <v>3.8</v>
      </c>
      <c r="J9" s="3">
        <v>11.8</v>
      </c>
      <c r="K9" s="3"/>
      <c r="L9" s="3">
        <v>15.9</v>
      </c>
      <c r="M9" s="3">
        <v>11.7</v>
      </c>
      <c r="N9" s="3">
        <v>0.7</v>
      </c>
      <c r="O9" s="3">
        <v>0.3</v>
      </c>
      <c r="P9" s="3"/>
      <c r="Q9" s="3">
        <v>2.2999999999999998</v>
      </c>
      <c r="R9" s="3">
        <v>1.4</v>
      </c>
      <c r="S9" s="3">
        <v>0</v>
      </c>
      <c r="T9" s="3">
        <v>0</v>
      </c>
      <c r="V9" s="7">
        <f t="shared" si="0"/>
        <v>3.65</v>
      </c>
    </row>
    <row r="10" spans="1:22" s="22" customFormat="1" x14ac:dyDescent="0.2">
      <c r="A10" s="22" t="s">
        <v>15</v>
      </c>
      <c r="B10" s="21">
        <v>11.6</v>
      </c>
      <c r="C10" s="21">
        <v>3.5</v>
      </c>
      <c r="D10" s="21">
        <v>0.8</v>
      </c>
      <c r="E10" s="21">
        <v>1</v>
      </c>
      <c r="F10" s="21"/>
      <c r="G10" s="21">
        <v>1.7</v>
      </c>
      <c r="H10" s="21">
        <v>1.2</v>
      </c>
      <c r="I10" s="21">
        <v>4.2</v>
      </c>
      <c r="J10" s="21">
        <v>1</v>
      </c>
      <c r="K10" s="21"/>
      <c r="L10" s="21">
        <v>2.6</v>
      </c>
      <c r="M10" s="21">
        <v>3.9</v>
      </c>
      <c r="N10" s="21">
        <v>4.3</v>
      </c>
      <c r="O10" s="21">
        <v>0</v>
      </c>
      <c r="P10" s="21"/>
      <c r="Q10" s="21">
        <v>0</v>
      </c>
      <c r="R10" s="21">
        <v>0.2</v>
      </c>
      <c r="S10" s="21">
        <v>0</v>
      </c>
      <c r="T10" s="21">
        <v>0</v>
      </c>
      <c r="V10" s="20">
        <f t="shared" si="0"/>
        <v>1.1000000000000001</v>
      </c>
    </row>
    <row r="11" spans="1:22" x14ac:dyDescent="0.2">
      <c r="A11" s="1" t="s">
        <v>16</v>
      </c>
      <c r="B11" s="3">
        <v>13.7</v>
      </c>
      <c r="C11" s="3">
        <v>8.9</v>
      </c>
      <c r="D11" s="3">
        <v>14.1</v>
      </c>
      <c r="E11" s="3">
        <v>5.6</v>
      </c>
      <c r="F11" s="3"/>
      <c r="G11" s="3">
        <v>24.1</v>
      </c>
      <c r="H11" s="3">
        <v>16.3</v>
      </c>
      <c r="I11" s="3">
        <v>9</v>
      </c>
      <c r="J11" s="3">
        <v>2.6</v>
      </c>
      <c r="K11" s="3"/>
      <c r="L11" s="3">
        <v>9.1</v>
      </c>
      <c r="M11" s="3">
        <v>22.9</v>
      </c>
      <c r="N11" s="3">
        <v>3.6</v>
      </c>
      <c r="O11" s="3">
        <v>0.2</v>
      </c>
      <c r="P11" s="3"/>
      <c r="Q11" s="3">
        <v>5.3</v>
      </c>
      <c r="R11" s="3">
        <v>13.1</v>
      </c>
      <c r="S11" s="3">
        <v>0</v>
      </c>
      <c r="T11" s="3">
        <v>0</v>
      </c>
      <c r="V11" s="7">
        <f t="shared" si="0"/>
        <v>8.9499999999999993</v>
      </c>
    </row>
    <row r="12" spans="1:22" x14ac:dyDescent="0.2">
      <c r="A12" s="1" t="s">
        <v>17</v>
      </c>
      <c r="B12" s="3">
        <v>17.7</v>
      </c>
      <c r="C12" s="3">
        <v>14.1</v>
      </c>
      <c r="D12" s="3">
        <v>5.5</v>
      </c>
      <c r="E12" s="3">
        <v>2.1</v>
      </c>
      <c r="F12" s="3"/>
      <c r="G12" s="3">
        <v>8</v>
      </c>
      <c r="H12" s="3">
        <v>9.3000000000000007</v>
      </c>
      <c r="I12" s="3">
        <v>7.2</v>
      </c>
      <c r="J12" s="3">
        <v>3.1</v>
      </c>
      <c r="K12" s="3"/>
      <c r="L12" s="3">
        <v>12.8</v>
      </c>
      <c r="M12" s="3">
        <v>10.7</v>
      </c>
      <c r="N12" s="3">
        <v>4.5999999999999996</v>
      </c>
      <c r="O12" s="3">
        <v>0</v>
      </c>
      <c r="P12" s="3"/>
      <c r="Q12" s="3">
        <v>0.9</v>
      </c>
      <c r="R12" s="3">
        <v>0.5</v>
      </c>
      <c r="S12" s="3">
        <v>0</v>
      </c>
      <c r="T12" s="3">
        <v>0</v>
      </c>
      <c r="V12" s="7">
        <f t="shared" si="0"/>
        <v>5.05</v>
      </c>
    </row>
    <row r="13" spans="1:22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V13" s="7"/>
    </row>
    <row r="14" spans="1:22" x14ac:dyDescent="0.2">
      <c r="A14" s="2" t="s">
        <v>18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V14" s="7"/>
    </row>
    <row r="15" spans="1:22" ht="17" customHeight="1" x14ac:dyDescent="0.2">
      <c r="A15" s="1" t="s">
        <v>19</v>
      </c>
      <c r="B15" s="3">
        <v>10.3</v>
      </c>
      <c r="C15" s="3">
        <v>5.4</v>
      </c>
      <c r="D15" s="3">
        <v>9.4</v>
      </c>
      <c r="E15" s="3">
        <v>2.6</v>
      </c>
      <c r="F15" s="3"/>
      <c r="G15" s="3">
        <v>9.8000000000000007</v>
      </c>
      <c r="H15" s="3">
        <v>6.3</v>
      </c>
      <c r="I15" s="3">
        <v>6.9</v>
      </c>
      <c r="J15" s="3">
        <v>5.4</v>
      </c>
      <c r="K15" s="3"/>
      <c r="L15" s="3">
        <v>25</v>
      </c>
      <c r="M15" s="3">
        <v>10.7</v>
      </c>
      <c r="N15" s="3">
        <v>5.7</v>
      </c>
      <c r="O15" s="3">
        <v>0.5</v>
      </c>
      <c r="P15" s="3"/>
      <c r="Q15" s="3">
        <v>2</v>
      </c>
      <c r="R15" s="3">
        <v>10.7</v>
      </c>
      <c r="S15" s="3">
        <v>0</v>
      </c>
      <c r="T15" s="3">
        <v>0</v>
      </c>
      <c r="V15" s="7">
        <f>MEDIAN(B15:T15)</f>
        <v>6</v>
      </c>
    </row>
    <row r="16" spans="1:22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V16" s="7"/>
    </row>
    <row r="17" spans="1:27" ht="17" customHeight="1" x14ac:dyDescent="0.2">
      <c r="A17" s="2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V17" s="7"/>
    </row>
    <row r="18" spans="1:27" x14ac:dyDescent="0.2">
      <c r="A18" s="1" t="s">
        <v>21</v>
      </c>
      <c r="B18" s="3">
        <v>32.299999999999997</v>
      </c>
      <c r="C18" s="3">
        <v>65.5</v>
      </c>
      <c r="D18" s="3">
        <v>15.2</v>
      </c>
      <c r="E18" s="3">
        <v>14.4</v>
      </c>
      <c r="F18" s="3"/>
      <c r="G18" s="3">
        <v>73.7</v>
      </c>
      <c r="H18" s="3">
        <v>26</v>
      </c>
      <c r="I18" s="3">
        <v>5.6</v>
      </c>
      <c r="J18" s="3">
        <v>30.6</v>
      </c>
      <c r="K18" s="3"/>
      <c r="L18" s="3">
        <v>64.8</v>
      </c>
      <c r="M18" s="3">
        <v>23.9</v>
      </c>
      <c r="N18" s="3">
        <v>41.4</v>
      </c>
      <c r="O18" s="3">
        <v>17.2</v>
      </c>
      <c r="P18" s="3"/>
      <c r="Q18" s="3">
        <v>21</v>
      </c>
      <c r="R18" s="3">
        <v>13.7</v>
      </c>
      <c r="S18" s="3">
        <v>0</v>
      </c>
      <c r="T18" s="3">
        <v>0.2</v>
      </c>
      <c r="V18" s="7">
        <f>MEDIAN(B18:T18)</f>
        <v>22.45</v>
      </c>
    </row>
    <row r="19" spans="1:27" x14ac:dyDescent="0.2">
      <c r="A19" s="1" t="s">
        <v>22</v>
      </c>
      <c r="B19" s="3">
        <v>17.899999999999999</v>
      </c>
      <c r="C19" s="3">
        <v>16</v>
      </c>
      <c r="D19" s="3">
        <v>14.6</v>
      </c>
      <c r="E19" s="3">
        <v>24.6</v>
      </c>
      <c r="F19" s="3"/>
      <c r="G19" s="3">
        <v>21.3</v>
      </c>
      <c r="H19" s="3">
        <v>20.5</v>
      </c>
      <c r="I19" s="3">
        <v>16</v>
      </c>
      <c r="J19" s="3">
        <v>15.222222222222221</v>
      </c>
      <c r="K19" s="3"/>
      <c r="L19" s="3">
        <v>17.100000000000001</v>
      </c>
      <c r="M19" s="3">
        <v>13.3</v>
      </c>
      <c r="N19" s="3">
        <v>14.2</v>
      </c>
      <c r="O19" s="3">
        <v>5.4</v>
      </c>
      <c r="P19" s="3"/>
      <c r="Q19" s="3">
        <v>4.5</v>
      </c>
      <c r="R19" s="3">
        <v>0.7</v>
      </c>
      <c r="S19" s="3">
        <v>0</v>
      </c>
      <c r="T19" s="3">
        <v>0.1</v>
      </c>
      <c r="V19" s="7">
        <f>MEDIAN(B19:T19)</f>
        <v>14.911111111111111</v>
      </c>
    </row>
    <row r="20" spans="1:27" s="23" customFormat="1" x14ac:dyDescent="0.2">
      <c r="A20" s="22" t="s">
        <v>23</v>
      </c>
      <c r="B20" s="21">
        <v>42.2</v>
      </c>
      <c r="C20" s="21">
        <v>47.4</v>
      </c>
      <c r="D20" s="21">
        <v>0</v>
      </c>
      <c r="E20" s="21">
        <v>0</v>
      </c>
      <c r="F20" s="21"/>
      <c r="G20" s="21">
        <v>46.1</v>
      </c>
      <c r="H20" s="21">
        <v>1.4</v>
      </c>
      <c r="I20" s="21">
        <v>0</v>
      </c>
      <c r="J20" s="21">
        <v>29.5</v>
      </c>
      <c r="K20" s="21"/>
      <c r="L20" s="21">
        <v>39.299999999999997</v>
      </c>
      <c r="M20" s="21">
        <v>6.2</v>
      </c>
      <c r="N20" s="21">
        <v>0.4</v>
      </c>
      <c r="O20" s="21">
        <v>4.7</v>
      </c>
      <c r="P20" s="21"/>
      <c r="Q20" s="21">
        <v>0</v>
      </c>
      <c r="R20" s="21">
        <v>8</v>
      </c>
      <c r="S20" s="21">
        <v>0.5</v>
      </c>
      <c r="T20" s="21">
        <v>8.3000000000000007</v>
      </c>
      <c r="V20" s="20">
        <f t="shared" si="0"/>
        <v>5.45</v>
      </c>
      <c r="X20" s="22"/>
      <c r="Y20" s="22"/>
      <c r="Z20" s="22"/>
      <c r="AA20" s="22"/>
    </row>
    <row r="21" spans="1:27" x14ac:dyDescent="0.2">
      <c r="A21" s="1" t="s">
        <v>24</v>
      </c>
      <c r="B21" s="3">
        <v>0.6</v>
      </c>
      <c r="C21" s="3">
        <v>5.8</v>
      </c>
      <c r="D21" s="3">
        <v>0.1</v>
      </c>
      <c r="E21" s="3">
        <v>1.4</v>
      </c>
      <c r="F21" s="3"/>
      <c r="G21" s="3">
        <v>6.9</v>
      </c>
      <c r="H21" s="3">
        <v>0</v>
      </c>
      <c r="I21" s="3">
        <v>12.5</v>
      </c>
      <c r="J21" s="3">
        <v>0.3</v>
      </c>
      <c r="K21" s="3"/>
      <c r="L21" s="3">
        <v>1.4</v>
      </c>
      <c r="M21" s="3">
        <v>0</v>
      </c>
      <c r="N21" s="3">
        <v>0</v>
      </c>
      <c r="O21" s="3">
        <v>0</v>
      </c>
      <c r="P21" s="3"/>
      <c r="Q21" s="3">
        <v>0</v>
      </c>
      <c r="R21" s="3">
        <v>0.1</v>
      </c>
      <c r="S21" s="3">
        <v>0</v>
      </c>
      <c r="T21" s="3">
        <v>0</v>
      </c>
      <c r="V21" s="7">
        <f t="shared" si="0"/>
        <v>0.1</v>
      </c>
      <c r="X21" s="24"/>
      <c r="Y21" s="24"/>
      <c r="Z21" s="24"/>
      <c r="AA21" s="24"/>
    </row>
    <row r="22" spans="1:27" s="22" customFormat="1" ht="18" customHeight="1" x14ac:dyDescent="0.2">
      <c r="A22" s="22" t="s">
        <v>25</v>
      </c>
      <c r="B22" s="21">
        <v>9.1</v>
      </c>
      <c r="C22" s="21">
        <v>6.1</v>
      </c>
      <c r="D22" s="21">
        <v>8.3000000000000007</v>
      </c>
      <c r="E22" s="21">
        <v>9.1</v>
      </c>
      <c r="F22" s="21"/>
      <c r="G22" s="21">
        <v>15.8</v>
      </c>
      <c r="H22" s="21">
        <v>2.4</v>
      </c>
      <c r="I22" s="21">
        <v>5.7</v>
      </c>
      <c r="J22" s="21">
        <v>17.100000000000001</v>
      </c>
      <c r="K22" s="21"/>
      <c r="L22" s="21">
        <v>9.6666666666666661</v>
      </c>
      <c r="M22" s="21">
        <v>1.2</v>
      </c>
      <c r="N22" s="21">
        <v>0.7</v>
      </c>
      <c r="O22" s="21">
        <v>0</v>
      </c>
      <c r="P22" s="21"/>
      <c r="Q22" s="21">
        <v>0.4</v>
      </c>
      <c r="R22" s="21">
        <v>2.8</v>
      </c>
      <c r="S22" s="21">
        <v>0</v>
      </c>
      <c r="T22" s="21">
        <v>0.1</v>
      </c>
      <c r="V22" s="20">
        <f t="shared" si="0"/>
        <v>4.25</v>
      </c>
    </row>
    <row r="24" spans="1:27" x14ac:dyDescent="0.2">
      <c r="A24" s="2" t="s">
        <v>26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V24" s="7"/>
    </row>
    <row r="25" spans="1:27" ht="15" customHeight="1" x14ac:dyDescent="0.2">
      <c r="A25" s="1" t="s">
        <v>27</v>
      </c>
      <c r="B25" s="3">
        <v>1.6</v>
      </c>
      <c r="C25" s="3">
        <v>0.3</v>
      </c>
      <c r="D25" s="3">
        <v>0</v>
      </c>
      <c r="E25" s="3">
        <v>0.3</v>
      </c>
      <c r="F25" s="3"/>
      <c r="G25" s="3">
        <v>0.2</v>
      </c>
      <c r="H25" s="3">
        <v>8</v>
      </c>
      <c r="I25" s="3">
        <v>0</v>
      </c>
      <c r="J25" s="3">
        <v>0.3</v>
      </c>
      <c r="K25" s="3"/>
      <c r="L25" s="3">
        <v>0.3</v>
      </c>
      <c r="M25" s="3">
        <v>0.4</v>
      </c>
      <c r="N25" s="3">
        <v>0.3</v>
      </c>
      <c r="O25" s="3">
        <v>1.1000000000000001</v>
      </c>
      <c r="P25" s="3"/>
      <c r="Q25" s="3">
        <v>0</v>
      </c>
      <c r="R25" s="15">
        <v>0</v>
      </c>
      <c r="S25" s="3">
        <v>0.9</v>
      </c>
      <c r="T25" s="3">
        <v>0</v>
      </c>
      <c r="V25" s="7">
        <f>MEDIAN(B25:T25)</f>
        <v>0.3</v>
      </c>
      <c r="X25" s="3"/>
    </row>
    <row r="26" spans="1:27" ht="17" customHeight="1" x14ac:dyDescent="0.2">
      <c r="A26" s="1" t="s">
        <v>28</v>
      </c>
      <c r="B26" s="3">
        <v>47.9</v>
      </c>
      <c r="C26" s="3">
        <v>39.9</v>
      </c>
      <c r="D26" s="3">
        <v>12.2</v>
      </c>
      <c r="E26" s="3">
        <v>17.5</v>
      </c>
      <c r="F26" s="3"/>
      <c r="G26" s="3">
        <v>47.3</v>
      </c>
      <c r="H26" s="3">
        <v>22.3</v>
      </c>
      <c r="I26" s="3">
        <v>22.9</v>
      </c>
      <c r="J26" s="3">
        <v>26.5</v>
      </c>
      <c r="K26" s="3"/>
      <c r="L26" s="3">
        <v>32.200000000000003</v>
      </c>
      <c r="M26" s="3">
        <v>41.5</v>
      </c>
      <c r="N26" s="3">
        <v>40.9</v>
      </c>
      <c r="O26" s="3">
        <v>6.1</v>
      </c>
      <c r="P26" s="3"/>
      <c r="Q26" s="3">
        <v>10.7</v>
      </c>
      <c r="R26" s="3">
        <v>7.8</v>
      </c>
      <c r="S26" s="3">
        <v>0</v>
      </c>
      <c r="T26" s="3">
        <v>0</v>
      </c>
      <c r="V26" s="7">
        <f t="shared" si="0"/>
        <v>22.6</v>
      </c>
    </row>
    <row r="27" spans="1:27" x14ac:dyDescent="0.2">
      <c r="A27" s="1" t="s">
        <v>29</v>
      </c>
      <c r="B27" s="3">
        <v>43.9</v>
      </c>
      <c r="C27" s="3">
        <v>40.1</v>
      </c>
      <c r="D27" s="3">
        <v>51.3</v>
      </c>
      <c r="E27" s="3">
        <v>16.899999999999999</v>
      </c>
      <c r="F27" s="3"/>
      <c r="G27" s="3">
        <v>76.2</v>
      </c>
      <c r="H27" s="3">
        <v>40.700000000000003</v>
      </c>
      <c r="I27" s="3">
        <v>37.1</v>
      </c>
      <c r="J27" s="3">
        <v>31.5</v>
      </c>
      <c r="K27" s="3"/>
      <c r="L27" s="3">
        <v>36.6</v>
      </c>
      <c r="M27" s="3">
        <v>61.6</v>
      </c>
      <c r="N27" s="3">
        <v>5.9</v>
      </c>
      <c r="O27" s="3">
        <v>9</v>
      </c>
      <c r="P27" s="3"/>
      <c r="Q27" s="3">
        <v>8.1</v>
      </c>
      <c r="R27" s="3">
        <v>11.7</v>
      </c>
      <c r="S27" s="3">
        <v>0</v>
      </c>
      <c r="T27" s="3">
        <v>0</v>
      </c>
      <c r="V27" s="7">
        <f t="shared" si="0"/>
        <v>34.049999999999997</v>
      </c>
    </row>
    <row r="28" spans="1:27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V28" s="7"/>
    </row>
    <row r="29" spans="1:27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V29" s="7"/>
    </row>
    <row r="30" spans="1:27" x14ac:dyDescent="0.2">
      <c r="A30" s="1" t="s">
        <v>31</v>
      </c>
      <c r="B30" s="3">
        <v>13.9</v>
      </c>
      <c r="C30" s="3">
        <v>15.5</v>
      </c>
      <c r="D30" s="3">
        <v>11.1</v>
      </c>
      <c r="E30" s="3">
        <v>8.6999999999999993</v>
      </c>
      <c r="F30" s="3"/>
      <c r="G30" s="3">
        <v>10.5</v>
      </c>
      <c r="H30" s="3">
        <v>6.7</v>
      </c>
      <c r="I30" s="3">
        <v>7.6</v>
      </c>
      <c r="J30" s="3">
        <v>11.7</v>
      </c>
      <c r="K30" s="3"/>
      <c r="L30" s="3">
        <v>19.8</v>
      </c>
      <c r="M30" s="3">
        <v>31.4</v>
      </c>
      <c r="N30" s="3">
        <v>13.2</v>
      </c>
      <c r="O30" s="3">
        <v>3.2</v>
      </c>
      <c r="P30" s="3"/>
      <c r="Q30" s="3">
        <v>7.6</v>
      </c>
      <c r="R30" s="3">
        <v>1</v>
      </c>
      <c r="S30" s="3">
        <v>0.3</v>
      </c>
      <c r="T30" s="3">
        <v>0.2</v>
      </c>
      <c r="V30" s="7">
        <f>MEDIAN(B30:T30)</f>
        <v>9.6</v>
      </c>
    </row>
    <row r="31" spans="1:27" x14ac:dyDescent="0.2">
      <c r="A31" s="1" t="s">
        <v>32</v>
      </c>
      <c r="B31" s="3">
        <v>5.3</v>
      </c>
      <c r="C31" s="3">
        <v>6.6</v>
      </c>
      <c r="D31" s="3">
        <v>7.7</v>
      </c>
      <c r="E31" s="3">
        <v>19.2</v>
      </c>
      <c r="F31" s="3"/>
      <c r="G31" s="3">
        <v>7.4</v>
      </c>
      <c r="H31" s="3">
        <v>1.7</v>
      </c>
      <c r="I31" s="3">
        <v>3.2</v>
      </c>
      <c r="J31" s="3">
        <v>7.6</v>
      </c>
      <c r="K31" s="3"/>
      <c r="L31" s="3">
        <v>5.8</v>
      </c>
      <c r="M31" s="3">
        <v>13.3</v>
      </c>
      <c r="N31" s="3">
        <v>3.3</v>
      </c>
      <c r="O31" s="3">
        <v>4.2</v>
      </c>
      <c r="P31" s="3"/>
      <c r="Q31" s="3">
        <v>1</v>
      </c>
      <c r="R31" s="3">
        <v>3.2</v>
      </c>
      <c r="S31" s="3">
        <v>0.8</v>
      </c>
      <c r="T31" s="3">
        <v>1.1111111111111112</v>
      </c>
      <c r="V31" s="7">
        <f>MEDIAN(B31:T31)</f>
        <v>4.75</v>
      </c>
    </row>
    <row r="32" spans="1:27" s="11" customFormat="1" x14ac:dyDescent="0.2">
      <c r="A32" s="11" t="s">
        <v>33</v>
      </c>
      <c r="B32" s="11">
        <f t="shared" ref="B32:E33" si="1">(B30*2)</f>
        <v>27.8</v>
      </c>
      <c r="C32" s="11">
        <f t="shared" si="1"/>
        <v>31</v>
      </c>
      <c r="D32" s="11">
        <f t="shared" si="1"/>
        <v>22.2</v>
      </c>
      <c r="E32" s="11">
        <f t="shared" si="1"/>
        <v>17.399999999999999</v>
      </c>
      <c r="G32" s="11">
        <f>(G30*2)</f>
        <v>21</v>
      </c>
      <c r="H32" s="11">
        <f t="shared" ref="H32:T33" si="2">(H30*2)</f>
        <v>13.4</v>
      </c>
      <c r="I32" s="11">
        <f t="shared" si="2"/>
        <v>15.2</v>
      </c>
      <c r="J32" s="11">
        <f t="shared" si="2"/>
        <v>23.4</v>
      </c>
      <c r="L32" s="11">
        <f t="shared" si="2"/>
        <v>39.6</v>
      </c>
      <c r="M32" s="11">
        <f t="shared" si="2"/>
        <v>62.8</v>
      </c>
      <c r="N32" s="11">
        <f t="shared" si="2"/>
        <v>26.4</v>
      </c>
      <c r="O32" s="11">
        <f t="shared" si="2"/>
        <v>6.4</v>
      </c>
      <c r="Q32" s="11">
        <f t="shared" si="2"/>
        <v>15.2</v>
      </c>
      <c r="R32" s="11">
        <f t="shared" si="2"/>
        <v>2</v>
      </c>
      <c r="S32" s="11">
        <f t="shared" si="2"/>
        <v>0.6</v>
      </c>
      <c r="T32" s="11">
        <f t="shared" si="2"/>
        <v>0.4</v>
      </c>
      <c r="V32" s="13">
        <f>MEDIAN(B32:T32)</f>
        <v>19.2</v>
      </c>
    </row>
    <row r="33" spans="1:22" s="11" customFormat="1" ht="17" customHeight="1" x14ac:dyDescent="0.2">
      <c r="A33" s="11" t="s">
        <v>34</v>
      </c>
      <c r="B33" s="11">
        <f t="shared" si="1"/>
        <v>10.6</v>
      </c>
      <c r="C33" s="11">
        <f t="shared" si="1"/>
        <v>13.2</v>
      </c>
      <c r="D33" s="11">
        <f t="shared" si="1"/>
        <v>15.4</v>
      </c>
      <c r="E33" s="11">
        <f t="shared" si="1"/>
        <v>38.4</v>
      </c>
      <c r="G33" s="11">
        <f>(G31*2)</f>
        <v>14.8</v>
      </c>
      <c r="H33" s="11">
        <f t="shared" si="2"/>
        <v>3.4</v>
      </c>
      <c r="I33" s="11">
        <f t="shared" si="2"/>
        <v>6.4</v>
      </c>
      <c r="J33" s="11">
        <f t="shared" si="2"/>
        <v>15.2</v>
      </c>
      <c r="L33" s="11">
        <f t="shared" si="2"/>
        <v>11.6</v>
      </c>
      <c r="M33" s="11">
        <f t="shared" si="2"/>
        <v>26.6</v>
      </c>
      <c r="N33" s="11">
        <f t="shared" si="2"/>
        <v>6.6</v>
      </c>
      <c r="O33" s="11">
        <f t="shared" si="2"/>
        <v>8.4</v>
      </c>
      <c r="Q33" s="11">
        <f t="shared" si="2"/>
        <v>2</v>
      </c>
      <c r="R33" s="11">
        <f t="shared" si="2"/>
        <v>6.4</v>
      </c>
      <c r="S33" s="11">
        <f t="shared" si="2"/>
        <v>1.6</v>
      </c>
      <c r="T33" s="12">
        <f t="shared" si="2"/>
        <v>2.2222222222222223</v>
      </c>
      <c r="V33" s="13">
        <f>MEDIAN(B33:T33)</f>
        <v>9.5</v>
      </c>
    </row>
    <row r="34" spans="1:22" ht="17" customHeight="1" x14ac:dyDescent="0.2">
      <c r="T34" s="3"/>
    </row>
    <row r="35" spans="1:22" s="2" customFormat="1" ht="17" customHeight="1" x14ac:dyDescent="0.2">
      <c r="A35" s="18" t="s">
        <v>35</v>
      </c>
      <c r="B35" s="19">
        <f>AVERAGE(B32:B33,B8:B27)</f>
        <v>19.243749999999999</v>
      </c>
      <c r="C35" s="19">
        <f>AVERAGE(C32:C33,C8:C27)</f>
        <v>19.237500000000001</v>
      </c>
      <c r="D35" s="19">
        <f>AVERAGE(D32:D33,D8:D27)</f>
        <v>10.7875</v>
      </c>
      <c r="E35" s="19">
        <f>AVERAGE(E32:E33,E8:E27)</f>
        <v>9.5250000000000004</v>
      </c>
      <c r="F35" s="19"/>
      <c r="G35" s="19">
        <f>AVERAGE(G32:G33,G8:G27)</f>
        <v>24.543749999999999</v>
      </c>
      <c r="H35" s="19">
        <f>AVERAGE(H32:H33,H8:H27)</f>
        <v>11.975000000000001</v>
      </c>
      <c r="I35" s="19">
        <f>AVERAGE(I32:I33,I8:I27)</f>
        <v>9.53125</v>
      </c>
      <c r="J35" s="19">
        <f>AVERAGE(J32:J33,J8:J27)</f>
        <v>13.35138888888889</v>
      </c>
      <c r="K35" s="19"/>
      <c r="L35" s="19">
        <f>AVERAGE(L32:L33,L8:L27)</f>
        <v>19.872916666666665</v>
      </c>
      <c r="M35" s="19">
        <f>AVERAGE(M32:M33,M8:M27)</f>
        <v>18.587499999999999</v>
      </c>
      <c r="N35" s="19">
        <f>AVERAGE(N32:N33,N8:N27)</f>
        <v>9.7312500000000011</v>
      </c>
      <c r="O35" s="19">
        <f>AVERAGE(O32:O33,O8:O27)</f>
        <v>3.7062500000000003</v>
      </c>
      <c r="P35" s="19"/>
      <c r="Q35" s="19">
        <f>AVERAGE(Q32:Q33,Q8:Q27)</f>
        <v>4.5249999999999995</v>
      </c>
      <c r="R35" s="19">
        <f>AVERAGE(R32:R33,R8:R27)</f>
        <v>4.9437500000000005</v>
      </c>
      <c r="S35" s="19">
        <f>AVERAGE(S32:S33,S8:S27)</f>
        <v>0.22500000000000001</v>
      </c>
      <c r="T35" s="19">
        <f>AVERAGE(T32:T33,T8:T27)</f>
        <v>0.70763888888888893</v>
      </c>
      <c r="U35" s="18"/>
      <c r="V35" s="20">
        <f>MEDIAN(B35:T35)</f>
        <v>10.259375</v>
      </c>
    </row>
    <row r="36" spans="1:22" s="2" customFormat="1" ht="17" customHeight="1" x14ac:dyDescent="0.2">
      <c r="A36" s="4" t="s">
        <v>41</v>
      </c>
      <c r="B36" s="16">
        <f>(B8+B9+B10+B11+B12+B15+B18+B19+B20+B21+B22+B25+B26+B27+B32+B33)</f>
        <v>307.89999999999998</v>
      </c>
      <c r="C36" s="16">
        <f>(C8+C9+C10+C11+C12+C15+C18+C19+C20+C21+C22+C25+C26+C27+C32+C33)</f>
        <v>307.8</v>
      </c>
      <c r="D36" s="16">
        <f>(D8+D9+D10+D11+D12+D15+D18+D19+D20+D21+D22+D25+D26+D27+D32+D33)</f>
        <v>172.6</v>
      </c>
      <c r="E36" s="16">
        <f>(E8+E9+E10+E11+E12+E15+E18+E19+E20+E21+E22+E25+E26+E27+E32+E33)</f>
        <v>152.4</v>
      </c>
      <c r="F36" s="16"/>
      <c r="G36" s="16">
        <f>(G8+G9+G10+G11+G12+G15+G18+G19+G20+G21+G22+G25+G26+G27+G32+G33)</f>
        <v>392.70000000000005</v>
      </c>
      <c r="H36" s="16">
        <f>(H8+H9+H10+H11+H12+H15+H18+H19+H20+H21+H22+H25+H26+H27+H32+H33)</f>
        <v>191.60000000000002</v>
      </c>
      <c r="I36" s="16">
        <f>(I8+I9+I10+I11+I12+I15+I18+I19+I20+I21+I22+I25+I26+I27+I32+I33)</f>
        <v>152.5</v>
      </c>
      <c r="J36" s="16">
        <f>(J8+J9+J10+J11+J12+J15+J18+J19+J20+J21+J22+J25+J26+J27+J32+J33)</f>
        <v>213.62222222222223</v>
      </c>
      <c r="K36" s="16"/>
      <c r="L36" s="16">
        <f>(L8+L9+L10+L11+L12+L15+L18+L19+L20+L21+L22+L25+L26+L27+L32+L33)</f>
        <v>317.9666666666667</v>
      </c>
      <c r="M36" s="16">
        <f>(M8+M9+M10+M11+M12+M15+M18+M19+M20+M21+M22+M25+M26+M27+M32+M33)</f>
        <v>297.40000000000003</v>
      </c>
      <c r="N36" s="16">
        <f>(N8+N9+N10+N11+N12+N15+N18+N19+N20+N21+N22+N25+N26+N27+N32+N33)</f>
        <v>155.70000000000002</v>
      </c>
      <c r="O36" s="16">
        <f>(O8+O9+O10+O11+O12+O15+O18+O19+O20+O21+O22+O25+O26+O27+O32+O33)</f>
        <v>59.3</v>
      </c>
      <c r="P36" s="16"/>
      <c r="Q36" s="16">
        <f>(Q8+Q9+Q10+Q11+Q12+Q15+Q18+Q19+Q20+Q21+Q22+Q25+Q26+Q27+Q32+Q33)</f>
        <v>72.399999999999991</v>
      </c>
      <c r="R36" s="16">
        <f>(R8+R9+R10+R11+R12+R15+R18+R19+R20+R21+R22+R25+R26+R27+R32+R33)</f>
        <v>79.099999999999994</v>
      </c>
      <c r="S36" s="16">
        <f>(S8+S9+S10+S11+S12+S15+S18+S19+S20+S21+S22+S25+S26+S27+S32+S33)</f>
        <v>3.6</v>
      </c>
      <c r="T36" s="16">
        <f>(T8+T9+T10+T11+T12+T15+T18+T19+T20+T21+T22+T25+T26+T27+T32+T33)</f>
        <v>11.322222222222223</v>
      </c>
      <c r="U36" s="4"/>
      <c r="V36" s="17">
        <f>MEDIAN(B36:T36)</f>
        <v>164.15</v>
      </c>
    </row>
    <row r="37" spans="1:22" ht="17" customHeight="1" x14ac:dyDescent="0.2"/>
    <row r="38" spans="1:22" ht="18" customHeight="1" x14ac:dyDescent="0.2">
      <c r="A38" s="8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V38" s="10"/>
    </row>
    <row r="39" spans="1:22" x14ac:dyDescent="0.2">
      <c r="A39" s="1" t="s">
        <v>19</v>
      </c>
      <c r="B39" s="3">
        <v>14.1</v>
      </c>
      <c r="C39" s="3">
        <v>1.1000000000000001</v>
      </c>
      <c r="D39" s="3">
        <v>0.3</v>
      </c>
      <c r="E39" s="3">
        <v>1.1000000000000001</v>
      </c>
      <c r="F39" s="3"/>
      <c r="G39" s="3">
        <v>9.9</v>
      </c>
      <c r="H39" s="3">
        <v>3.8</v>
      </c>
      <c r="I39" s="3">
        <v>3.4</v>
      </c>
      <c r="J39" s="3">
        <v>3.2</v>
      </c>
      <c r="K39" s="3"/>
      <c r="L39" s="3">
        <v>30.2</v>
      </c>
      <c r="M39" s="3">
        <v>21.1</v>
      </c>
      <c r="N39" s="3">
        <v>0.6</v>
      </c>
      <c r="O39" s="3">
        <v>0</v>
      </c>
      <c r="P39" s="3"/>
      <c r="Q39" s="3">
        <v>0</v>
      </c>
      <c r="R39" s="3">
        <v>1</v>
      </c>
      <c r="S39" s="3">
        <v>0.1</v>
      </c>
      <c r="T39" s="3">
        <v>0.8</v>
      </c>
      <c r="V39" s="7">
        <f>MEDIAN(B39:T39)</f>
        <v>1.1000000000000001</v>
      </c>
    </row>
    <row r="40" spans="1:22" x14ac:dyDescent="0.2">
      <c r="A40" s="1" t="s">
        <v>37</v>
      </c>
      <c r="B40" s="3">
        <v>17.5</v>
      </c>
      <c r="C40" s="3">
        <v>2.7</v>
      </c>
      <c r="D40" s="3">
        <v>0.9</v>
      </c>
      <c r="E40" s="3">
        <v>0.1</v>
      </c>
      <c r="F40" s="3"/>
      <c r="G40" s="3">
        <v>16.8</v>
      </c>
      <c r="H40" s="3">
        <v>3.9</v>
      </c>
      <c r="I40" s="3">
        <v>1.2</v>
      </c>
      <c r="J40" s="3">
        <v>1.2</v>
      </c>
      <c r="K40" s="3"/>
      <c r="L40" s="3">
        <v>6.3</v>
      </c>
      <c r="M40" s="3">
        <v>33.5</v>
      </c>
      <c r="N40" s="3">
        <v>0.6</v>
      </c>
      <c r="O40" s="3">
        <v>0</v>
      </c>
      <c r="P40" s="3"/>
      <c r="Q40" s="3">
        <v>0.1</v>
      </c>
      <c r="R40" s="3">
        <v>1</v>
      </c>
      <c r="S40" s="3">
        <v>0</v>
      </c>
      <c r="T40" s="3">
        <v>0.1</v>
      </c>
      <c r="V40" s="7">
        <f>MEDIAN(B40:T40)</f>
        <v>1.1000000000000001</v>
      </c>
    </row>
    <row r="41" spans="1:22" x14ac:dyDescent="0.2">
      <c r="A41" s="1" t="s">
        <v>38</v>
      </c>
      <c r="B41" s="3">
        <v>2.5</v>
      </c>
      <c r="C41" s="3">
        <v>9</v>
      </c>
      <c r="D41" s="3">
        <v>0.7</v>
      </c>
      <c r="E41" s="3">
        <v>0</v>
      </c>
      <c r="F41" s="3"/>
      <c r="G41" s="3">
        <v>13.1</v>
      </c>
      <c r="H41" s="3">
        <v>1.4</v>
      </c>
      <c r="I41" s="3">
        <v>0.4</v>
      </c>
      <c r="J41" s="3">
        <v>1.1000000000000001</v>
      </c>
      <c r="K41" s="3"/>
      <c r="L41" s="3">
        <v>22.8</v>
      </c>
      <c r="M41" s="3">
        <v>8.5</v>
      </c>
      <c r="N41" s="3">
        <v>5</v>
      </c>
      <c r="O41" s="3">
        <v>0.4</v>
      </c>
      <c r="P41" s="3"/>
      <c r="Q41" s="3">
        <v>0.1</v>
      </c>
      <c r="R41" s="3">
        <v>0.1</v>
      </c>
      <c r="S41" s="3">
        <v>0</v>
      </c>
      <c r="T41" s="3">
        <v>1</v>
      </c>
      <c r="V41" s="7">
        <f>MEDIAN(B41:T41)</f>
        <v>1.05</v>
      </c>
    </row>
    <row r="42" spans="1:22" x14ac:dyDescent="0.2">
      <c r="A42" s="1" t="s">
        <v>25</v>
      </c>
      <c r="B42" s="14">
        <v>1</v>
      </c>
      <c r="C42" s="14">
        <v>1.1000000000000001</v>
      </c>
      <c r="D42" s="14">
        <v>0</v>
      </c>
      <c r="E42" s="14">
        <v>0</v>
      </c>
      <c r="F42" s="14"/>
      <c r="G42" s="14">
        <v>2.5</v>
      </c>
      <c r="H42" s="14">
        <v>6.6</v>
      </c>
      <c r="I42" s="14">
        <v>0</v>
      </c>
      <c r="J42" s="14">
        <v>1.9</v>
      </c>
      <c r="K42" s="14"/>
      <c r="L42" s="14">
        <v>3.2</v>
      </c>
      <c r="M42" s="14">
        <v>3.2</v>
      </c>
      <c r="N42" s="14">
        <v>1.5</v>
      </c>
      <c r="O42" s="14">
        <v>0.2</v>
      </c>
      <c r="P42" s="14"/>
      <c r="Q42" s="14">
        <v>0.1</v>
      </c>
      <c r="R42" s="14">
        <v>0.5</v>
      </c>
      <c r="S42" s="14">
        <v>0</v>
      </c>
      <c r="T42" s="14">
        <v>0.1</v>
      </c>
      <c r="V42" s="7">
        <f>MEDIAN(B42:T42)</f>
        <v>0.75</v>
      </c>
    </row>
    <row r="44" spans="1:22" s="2" customFormat="1" x14ac:dyDescent="0.2">
      <c r="A44" s="18" t="s">
        <v>39</v>
      </c>
      <c r="B44" s="19">
        <f>AVERAGE(B39:B43)</f>
        <v>8.7750000000000004</v>
      </c>
      <c r="C44" s="19">
        <f>AVERAGE(C39:C43)</f>
        <v>3.4750000000000001</v>
      </c>
      <c r="D44" s="19">
        <f>AVERAGE(D39:D43)</f>
        <v>0.47499999999999998</v>
      </c>
      <c r="E44" s="19">
        <f>AVERAGE(E39:E43)</f>
        <v>0.30000000000000004</v>
      </c>
      <c r="F44" s="18"/>
      <c r="G44" s="19">
        <f>AVERAGE(G39:G43)</f>
        <v>10.575000000000001</v>
      </c>
      <c r="H44" s="19">
        <f>AVERAGE(H39:H43)</f>
        <v>3.9249999999999998</v>
      </c>
      <c r="I44" s="19">
        <f>AVERAGE(I39:I43)</f>
        <v>1.25</v>
      </c>
      <c r="J44" s="19">
        <f>AVERAGE(J39:J43)</f>
        <v>1.85</v>
      </c>
      <c r="K44" s="18"/>
      <c r="L44" s="19">
        <f>AVERAGE(L39:L43)</f>
        <v>15.625</v>
      </c>
      <c r="M44" s="19">
        <f>AVERAGE(M39:M43)</f>
        <v>16.574999999999999</v>
      </c>
      <c r="N44" s="19">
        <f>AVERAGE(N39:N43)</f>
        <v>1.925</v>
      </c>
      <c r="O44" s="19">
        <f>AVERAGE(O39:O43)</f>
        <v>0.15000000000000002</v>
      </c>
      <c r="P44" s="18"/>
      <c r="Q44" s="19">
        <f>AVERAGE(Q39:Q43)</f>
        <v>7.5000000000000011E-2</v>
      </c>
      <c r="R44" s="19">
        <f>AVERAGE(R39:R43)</f>
        <v>0.65</v>
      </c>
      <c r="S44" s="19">
        <f>AVERAGE(S39:S43)</f>
        <v>2.5000000000000001E-2</v>
      </c>
      <c r="T44" s="19">
        <f>AVERAGE(T39:T43)</f>
        <v>0.5</v>
      </c>
      <c r="U44" s="18"/>
      <c r="V44" s="20">
        <f>MEDIAN(B44:T44)</f>
        <v>1.55</v>
      </c>
    </row>
    <row r="45" spans="1:22" x14ac:dyDescent="0.2">
      <c r="A45" s="4" t="s">
        <v>40</v>
      </c>
      <c r="B45" s="16">
        <f>SUM(B39:B42)</f>
        <v>35.1</v>
      </c>
      <c r="C45" s="16">
        <f>SUM(C39:C42)</f>
        <v>13.9</v>
      </c>
      <c r="D45" s="16">
        <f>SUM(D39:D42)</f>
        <v>1.9</v>
      </c>
      <c r="E45" s="16">
        <f>SUM(E39:E42)</f>
        <v>1.2000000000000002</v>
      </c>
      <c r="F45" s="4"/>
      <c r="G45" s="16">
        <f>SUM(G39:G42)</f>
        <v>42.300000000000004</v>
      </c>
      <c r="H45" s="16">
        <f>SUM(H39:H42)</f>
        <v>15.7</v>
      </c>
      <c r="I45" s="16">
        <f>SUM(I39:I42)</f>
        <v>5</v>
      </c>
      <c r="J45" s="16">
        <f>SUM(J39:J42)</f>
        <v>7.4</v>
      </c>
      <c r="K45" s="4"/>
      <c r="L45" s="16">
        <f>SUM(L39:L42)</f>
        <v>62.5</v>
      </c>
      <c r="M45" s="16">
        <f>SUM(M39:M42)</f>
        <v>66.3</v>
      </c>
      <c r="N45" s="16">
        <f>SUM(N39:N42)</f>
        <v>7.7</v>
      </c>
      <c r="O45" s="16">
        <f>SUM(O39:O42)</f>
        <v>0.60000000000000009</v>
      </c>
      <c r="P45" s="4"/>
      <c r="Q45" s="16">
        <f>SUM(Q39:Q42)</f>
        <v>0.30000000000000004</v>
      </c>
      <c r="R45" s="16">
        <f>SUM(R39:R42)</f>
        <v>2.6</v>
      </c>
      <c r="S45" s="16">
        <f>SUM(S39:S42)</f>
        <v>0.1</v>
      </c>
      <c r="T45" s="16">
        <f>SUM(T39:T42)</f>
        <v>2</v>
      </c>
      <c r="U45" s="4"/>
      <c r="V45" s="17">
        <f>MEDIAN(B45:T45)</f>
        <v>6.2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ASYN and Tau exp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 Davis</dc:creator>
  <cp:lastModifiedBy>William Christensen</cp:lastModifiedBy>
  <cp:lastPrinted>2025-07-23T21:54:05Z</cp:lastPrinted>
  <dcterms:created xsi:type="dcterms:W3CDTF">2024-03-09T00:30:45Z</dcterms:created>
  <dcterms:modified xsi:type="dcterms:W3CDTF">2026-07-22T20:08:27Z</dcterms:modified>
</cp:coreProperties>
</file>