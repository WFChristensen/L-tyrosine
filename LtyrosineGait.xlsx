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c1970/Library/CloudStorage/Box-Box/Statistics-WFC1970/Documents/research/Cox/"/>
    </mc:Choice>
  </mc:AlternateContent>
  <xr:revisionPtr revIDLastSave="0" documentId="13_ncr:1_{C278F1E8-8B00-FE40-8EC0-1CBB4F642E3B}" xr6:coauthVersionLast="47" xr6:coauthVersionMax="47" xr10:uidLastSave="{00000000-0000-0000-0000-000000000000}"/>
  <bookViews>
    <workbookView xWindow="0" yWindow="660" windowWidth="34560" windowHeight="21680" xr2:uid="{77598430-7E55-ED40-B774-C8A8D32A7862}"/>
  </bookViews>
  <sheets>
    <sheet name="Right Hind Stride" sheetId="21" r:id="rId1"/>
    <sheet name="Left Hind Swing" sheetId="22" r:id="rId2"/>
    <sheet name="BOS Front Paw" sheetId="23" r:id="rId3"/>
    <sheet name="BOS Hind Paw" sheetId="24" r:id="rId4"/>
    <sheet name="Tail Erect Time" sheetId="25" r:id="rId5"/>
    <sheet name="Move Time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6" l="1"/>
  <c r="J11" i="26"/>
  <c r="F11" i="26"/>
  <c r="B11" i="26"/>
  <c r="N10" i="26"/>
  <c r="J10" i="26"/>
  <c r="F10" i="26"/>
  <c r="B10" i="26"/>
  <c r="N11" i="25"/>
  <c r="N10" i="25"/>
  <c r="J11" i="25"/>
  <c r="J10" i="25"/>
  <c r="F11" i="25"/>
  <c r="F10" i="25"/>
  <c r="B11" i="25"/>
  <c r="B10" i="25"/>
  <c r="N8" i="24"/>
  <c r="J8" i="24"/>
  <c r="F8" i="24"/>
  <c r="B8" i="24"/>
  <c r="N7" i="24"/>
  <c r="J7" i="24"/>
  <c r="F7" i="24"/>
  <c r="B7" i="24"/>
  <c r="N8" i="23"/>
  <c r="J8" i="23"/>
  <c r="F8" i="23"/>
  <c r="B8" i="23"/>
  <c r="N7" i="23"/>
  <c r="J7" i="23"/>
  <c r="F7" i="23"/>
  <c r="B7" i="23"/>
  <c r="N8" i="22"/>
  <c r="J8" i="22"/>
  <c r="F8" i="22"/>
  <c r="B8" i="22"/>
  <c r="N7" i="22"/>
  <c r="J7" i="22"/>
  <c r="F7" i="22"/>
  <c r="B7" i="22"/>
  <c r="N8" i="21"/>
  <c r="N7" i="21"/>
  <c r="J8" i="21"/>
  <c r="J7" i="21"/>
  <c r="F8" i="21"/>
  <c r="F7" i="21"/>
  <c r="B8" i="21"/>
  <c r="B7" i="21"/>
</calcChain>
</file>

<file path=xl/sharedStrings.xml><?xml version="1.0" encoding="utf-8"?>
<sst xmlns="http://schemas.openxmlformats.org/spreadsheetml/2006/main" count="94" uniqueCount="9">
  <si>
    <t>CTL</t>
  </si>
  <si>
    <t>BMAA</t>
  </si>
  <si>
    <t>Mean</t>
  </si>
  <si>
    <t>Median</t>
  </si>
  <si>
    <t>BMAA+SER</t>
  </si>
  <si>
    <t>BMAA+TYR</t>
  </si>
  <si>
    <t xml:space="preserve">Assessments </t>
  </si>
  <si>
    <t xml:space="preserve">Male 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</si>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</sst>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ED69-0CCB-1145-8EDA-2A58D3E97711}">
  <dimension ref="A1:Q8"/>
  <sheetViews>
    <sheetView tabSelected="1" workbookViewId="0">
      <selection activeCell="M26" sqref="M26"/>
    </sheetView>
  </sheetViews>
  <sheetFormatPr baseColWidth="10" defaultRowHeight="16" x14ac:dyDescent="0.2"/>
  <cols>
    <col min="1" max="1" width="13.1640625" customWidth="1"/>
    <col min="2" max="17" width="6" customWidth="1"/>
  </cols>
  <sheetData>
    <row r="1" spans="1:17" x14ac:dyDescent="0.2">
      <c r="A1" s="2" t="s">
        <v>6</v>
      </c>
      <c r="B1" s="10" t="s">
        <v>0</v>
      </c>
      <c r="C1" s="10"/>
      <c r="D1" s="10"/>
      <c r="E1" s="10"/>
      <c r="F1" s="10" t="s">
        <v>1</v>
      </c>
      <c r="G1" s="10"/>
      <c r="H1" s="10"/>
      <c r="I1" s="10"/>
      <c r="J1" s="10" t="s">
        <v>4</v>
      </c>
      <c r="K1" s="10"/>
      <c r="L1" s="10"/>
      <c r="M1" s="10"/>
      <c r="N1" s="10" t="s">
        <v>5</v>
      </c>
      <c r="O1" s="10"/>
      <c r="P1" s="10"/>
      <c r="Q1" s="10"/>
    </row>
    <row r="2" spans="1:17" x14ac:dyDescent="0.2">
      <c r="A2" s="2" t="s">
        <v>6</v>
      </c>
      <c r="B2" s="12" t="s">
        <v>7</v>
      </c>
      <c r="C2" s="13"/>
      <c r="D2" s="12" t="s">
        <v>8</v>
      </c>
      <c r="E2" s="13"/>
      <c r="F2" s="12" t="s">
        <v>7</v>
      </c>
      <c r="G2" s="13"/>
      <c r="H2" s="12" t="s">
        <v>8</v>
      </c>
      <c r="I2" s="13"/>
      <c r="J2" s="12" t="s">
        <v>7</v>
      </c>
      <c r="K2" s="13"/>
      <c r="L2" s="12" t="s">
        <v>8</v>
      </c>
      <c r="M2" s="13"/>
      <c r="N2" s="12" t="s">
        <v>7</v>
      </c>
      <c r="O2" s="13"/>
      <c r="P2" s="12" t="s">
        <v>8</v>
      </c>
      <c r="Q2" s="13"/>
    </row>
    <row r="3" spans="1:17" x14ac:dyDescent="0.2">
      <c r="A3" s="6">
        <v>1</v>
      </c>
      <c r="B3" s="15">
        <v>96</v>
      </c>
      <c r="C3" s="15">
        <v>104</v>
      </c>
      <c r="D3" s="15">
        <v>108</v>
      </c>
      <c r="E3" s="15">
        <v>92</v>
      </c>
      <c r="F3" s="6">
        <v>55</v>
      </c>
      <c r="G3" s="6">
        <v>83</v>
      </c>
      <c r="H3" s="6">
        <v>117</v>
      </c>
      <c r="I3" s="6">
        <v>97</v>
      </c>
      <c r="J3" s="6">
        <v>97</v>
      </c>
      <c r="K3" s="6">
        <v>86</v>
      </c>
      <c r="L3" s="6">
        <v>104</v>
      </c>
      <c r="M3" s="6">
        <v>100</v>
      </c>
      <c r="N3" s="6">
        <v>106</v>
      </c>
      <c r="O3" s="6">
        <v>95</v>
      </c>
      <c r="P3" s="6">
        <v>112</v>
      </c>
      <c r="Q3" s="6">
        <v>175</v>
      </c>
    </row>
    <row r="4" spans="1:17" x14ac:dyDescent="0.2">
      <c r="A4" s="6">
        <v>2</v>
      </c>
      <c r="B4" s="15">
        <v>83</v>
      </c>
      <c r="C4" s="15">
        <v>117</v>
      </c>
      <c r="D4" s="15">
        <v>93</v>
      </c>
      <c r="E4" s="15">
        <v>107</v>
      </c>
      <c r="F4" s="6">
        <v>79</v>
      </c>
      <c r="G4" s="6">
        <v>85</v>
      </c>
      <c r="H4" s="6">
        <v>61</v>
      </c>
      <c r="I4" s="6">
        <v>91</v>
      </c>
      <c r="J4" s="6">
        <v>85</v>
      </c>
      <c r="K4" s="6">
        <v>115</v>
      </c>
      <c r="L4" s="6">
        <v>59</v>
      </c>
      <c r="M4" s="6">
        <v>71</v>
      </c>
      <c r="N4" s="6">
        <v>102</v>
      </c>
      <c r="O4" s="6">
        <v>109</v>
      </c>
      <c r="P4" s="6">
        <v>117</v>
      </c>
      <c r="Q4" s="6">
        <v>154</v>
      </c>
    </row>
    <row r="5" spans="1:17" x14ac:dyDescent="0.2">
      <c r="A5" s="6">
        <v>3</v>
      </c>
      <c r="B5" s="15">
        <v>99</v>
      </c>
      <c r="C5" s="15">
        <v>101</v>
      </c>
      <c r="D5" s="15">
        <v>81</v>
      </c>
      <c r="E5" s="15">
        <v>119</v>
      </c>
      <c r="F5" s="6">
        <v>57</v>
      </c>
      <c r="G5" s="6">
        <v>75</v>
      </c>
      <c r="H5" s="6">
        <v>115</v>
      </c>
      <c r="I5" s="6">
        <v>75</v>
      </c>
      <c r="J5" s="6">
        <v>51</v>
      </c>
      <c r="K5" s="6">
        <v>106</v>
      </c>
      <c r="L5" s="6">
        <v>90</v>
      </c>
      <c r="M5" s="6">
        <v>69</v>
      </c>
      <c r="N5" s="6">
        <v>55</v>
      </c>
      <c r="O5" s="6">
        <v>77</v>
      </c>
      <c r="P5" s="6">
        <v>154</v>
      </c>
      <c r="Q5" s="6">
        <v>178</v>
      </c>
    </row>
    <row r="6" spans="1:17" x14ac:dyDescent="0.2">
      <c r="A6" s="6">
        <v>4</v>
      </c>
      <c r="B6" s="15">
        <v>94</v>
      </c>
      <c r="C6" s="15">
        <v>106</v>
      </c>
      <c r="D6" s="15">
        <v>83</v>
      </c>
      <c r="E6" s="15">
        <v>117</v>
      </c>
      <c r="F6" s="6">
        <v>54</v>
      </c>
      <c r="G6" s="6">
        <v>64</v>
      </c>
      <c r="H6" s="6">
        <v>129</v>
      </c>
      <c r="I6" s="6">
        <v>93</v>
      </c>
      <c r="J6" s="6">
        <v>76</v>
      </c>
      <c r="K6" s="6">
        <v>130</v>
      </c>
      <c r="L6" s="6">
        <v>97</v>
      </c>
      <c r="M6" s="6">
        <v>131</v>
      </c>
      <c r="N6" s="6">
        <v>108</v>
      </c>
      <c r="O6" s="6">
        <v>79</v>
      </c>
      <c r="P6" s="6">
        <v>139</v>
      </c>
      <c r="Q6" s="6">
        <v>186</v>
      </c>
    </row>
    <row r="7" spans="1:17" x14ac:dyDescent="0.2">
      <c r="A7" s="5" t="s">
        <v>2</v>
      </c>
      <c r="B7" s="11">
        <f>AVERAGE(B3:E6)</f>
        <v>100</v>
      </c>
      <c r="C7" s="11"/>
      <c r="D7" s="11"/>
      <c r="E7" s="11"/>
      <c r="F7" s="11">
        <f>AVERAGE(F3:I6)</f>
        <v>83.125</v>
      </c>
      <c r="G7" s="11"/>
      <c r="H7" s="11"/>
      <c r="I7" s="11"/>
      <c r="J7" s="11">
        <f>AVERAGE(J3:M6)</f>
        <v>91.6875</v>
      </c>
      <c r="K7" s="11"/>
      <c r="L7" s="11"/>
      <c r="M7" s="11"/>
      <c r="N7" s="11">
        <f>AVERAGE(N3:Q6)</f>
        <v>121.625</v>
      </c>
      <c r="O7" s="11"/>
      <c r="P7" s="11"/>
      <c r="Q7" s="11"/>
    </row>
    <row r="8" spans="1:17" x14ac:dyDescent="0.2">
      <c r="A8" s="5" t="s">
        <v>3</v>
      </c>
      <c r="B8" s="11">
        <f>MEDIAN(B3:E6)</f>
        <v>100</v>
      </c>
      <c r="C8" s="11"/>
      <c r="D8" s="11"/>
      <c r="E8" s="11"/>
      <c r="F8" s="11">
        <f>MEDIAN(F3:I6)</f>
        <v>81</v>
      </c>
      <c r="G8" s="11"/>
      <c r="H8" s="11"/>
      <c r="I8" s="11"/>
      <c r="J8" s="11">
        <f>MEDIAN(J3:M6)</f>
        <v>93.5</v>
      </c>
      <c r="K8" s="11"/>
      <c r="L8" s="11"/>
      <c r="M8" s="11"/>
      <c r="N8" s="11">
        <f>MEDIAN(N3:Q6)</f>
        <v>110.5</v>
      </c>
      <c r="O8" s="11"/>
      <c r="P8" s="11"/>
      <c r="Q8" s="11"/>
    </row>
  </sheetData>
  <mergeCells count="20">
    <mergeCell ref="N7:Q7"/>
    <mergeCell ref="N8:Q8"/>
    <mergeCell ref="F7:I7"/>
    <mergeCell ref="F8:I8"/>
    <mergeCell ref="B8:E8"/>
    <mergeCell ref="J8:M8"/>
    <mergeCell ref="B1:E1"/>
    <mergeCell ref="F1:I1"/>
    <mergeCell ref="J1:M1"/>
    <mergeCell ref="N1:Q1"/>
    <mergeCell ref="B7:E7"/>
    <mergeCell ref="J7:M7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7ECF-98C4-2D48-8417-B723323AE8EF}">
  <dimension ref="A1:AF36"/>
  <sheetViews>
    <sheetView workbookViewId="0">
      <selection activeCell="H37" sqref="H37"/>
    </sheetView>
  </sheetViews>
  <sheetFormatPr baseColWidth="10" defaultRowHeight="16" x14ac:dyDescent="0.2"/>
  <cols>
    <col min="2" max="17" width="5.33203125" style="3" customWidth="1"/>
    <col min="19" max="32" width="10.83203125" style="4"/>
  </cols>
  <sheetData>
    <row r="1" spans="1:32" x14ac:dyDescent="0.2">
      <c r="A1" s="2" t="s">
        <v>6</v>
      </c>
      <c r="B1" s="14" t="s">
        <v>0</v>
      </c>
      <c r="C1" s="14"/>
      <c r="D1" s="14"/>
      <c r="E1" s="14"/>
      <c r="F1" s="14" t="s">
        <v>1</v>
      </c>
      <c r="G1" s="14"/>
      <c r="H1" s="14"/>
      <c r="I1" s="14"/>
      <c r="J1" s="14" t="s">
        <v>4</v>
      </c>
      <c r="K1" s="14"/>
      <c r="L1" s="14"/>
      <c r="M1" s="14"/>
      <c r="N1" s="14" t="s">
        <v>5</v>
      </c>
      <c r="O1" s="14"/>
      <c r="P1" s="14"/>
      <c r="Q1" s="14"/>
    </row>
    <row r="2" spans="1:32" x14ac:dyDescent="0.2">
      <c r="A2" s="2" t="s">
        <v>6</v>
      </c>
      <c r="B2" s="12" t="s">
        <v>7</v>
      </c>
      <c r="C2" s="13"/>
      <c r="D2" s="12" t="s">
        <v>8</v>
      </c>
      <c r="E2" s="13"/>
      <c r="F2" s="12" t="s">
        <v>7</v>
      </c>
      <c r="G2" s="13"/>
      <c r="H2" s="12" t="s">
        <v>8</v>
      </c>
      <c r="I2" s="13"/>
      <c r="J2" s="12" t="s">
        <v>7</v>
      </c>
      <c r="K2" s="13"/>
      <c r="L2" s="12" t="s">
        <v>8</v>
      </c>
      <c r="M2" s="13"/>
      <c r="N2" s="12" t="s">
        <v>7</v>
      </c>
      <c r="O2" s="13"/>
      <c r="P2" s="12" t="s">
        <v>8</v>
      </c>
      <c r="Q2" s="13"/>
    </row>
    <row r="3" spans="1:32" x14ac:dyDescent="0.2">
      <c r="A3" s="6">
        <v>1</v>
      </c>
      <c r="B3" s="6">
        <v>106</v>
      </c>
      <c r="C3" s="6">
        <v>94</v>
      </c>
      <c r="D3" s="6">
        <v>124</v>
      </c>
      <c r="E3" s="6">
        <v>76</v>
      </c>
      <c r="F3" s="6">
        <v>52</v>
      </c>
      <c r="G3" s="6">
        <v>73</v>
      </c>
      <c r="H3" s="6">
        <v>106</v>
      </c>
      <c r="I3" s="6">
        <v>104</v>
      </c>
      <c r="J3" s="6">
        <v>127</v>
      </c>
      <c r="K3" s="6">
        <v>70</v>
      </c>
      <c r="L3" s="6">
        <v>60</v>
      </c>
      <c r="M3" s="6">
        <v>86</v>
      </c>
      <c r="N3" s="6">
        <v>141</v>
      </c>
      <c r="O3" s="6">
        <v>95</v>
      </c>
      <c r="P3" s="6">
        <v>147</v>
      </c>
      <c r="Q3" s="6">
        <v>190</v>
      </c>
    </row>
    <row r="4" spans="1:32" x14ac:dyDescent="0.2">
      <c r="A4" s="6">
        <v>2</v>
      </c>
      <c r="B4" s="6">
        <v>92</v>
      </c>
      <c r="C4" s="6">
        <v>108</v>
      </c>
      <c r="D4" s="6">
        <v>113</v>
      </c>
      <c r="E4" s="6">
        <v>87</v>
      </c>
      <c r="F4" s="6">
        <v>60</v>
      </c>
      <c r="G4" s="6">
        <v>52</v>
      </c>
      <c r="H4" s="6">
        <v>80</v>
      </c>
      <c r="I4" s="6">
        <v>80</v>
      </c>
      <c r="J4" s="6">
        <v>65</v>
      </c>
      <c r="K4" s="6">
        <v>55</v>
      </c>
      <c r="L4" s="6">
        <v>57</v>
      </c>
      <c r="M4" s="6">
        <v>57</v>
      </c>
      <c r="N4" s="6">
        <v>54</v>
      </c>
      <c r="O4" s="6">
        <v>94</v>
      </c>
      <c r="P4" s="6">
        <v>145</v>
      </c>
      <c r="Q4" s="6">
        <v>157</v>
      </c>
    </row>
    <row r="5" spans="1:32" x14ac:dyDescent="0.2">
      <c r="A5" s="6">
        <v>3</v>
      </c>
      <c r="B5" s="6">
        <v>115</v>
      </c>
      <c r="C5" s="6">
        <v>85</v>
      </c>
      <c r="D5" s="6">
        <v>137</v>
      </c>
      <c r="E5" s="6">
        <v>63</v>
      </c>
      <c r="F5" s="6">
        <v>59</v>
      </c>
      <c r="G5" s="6">
        <v>86</v>
      </c>
      <c r="H5" s="6">
        <v>76</v>
      </c>
      <c r="I5" s="6">
        <v>92</v>
      </c>
      <c r="J5" s="6">
        <v>56</v>
      </c>
      <c r="K5" s="6">
        <v>71</v>
      </c>
      <c r="L5" s="6">
        <v>83</v>
      </c>
      <c r="M5" s="6">
        <v>48</v>
      </c>
      <c r="N5" s="6">
        <v>74</v>
      </c>
      <c r="O5" s="6">
        <v>102</v>
      </c>
      <c r="P5" s="6">
        <v>135</v>
      </c>
      <c r="Q5" s="6">
        <v>128</v>
      </c>
    </row>
    <row r="6" spans="1:32" x14ac:dyDescent="0.2">
      <c r="A6" s="6">
        <v>4</v>
      </c>
      <c r="B6" s="6">
        <v>99</v>
      </c>
      <c r="C6" s="6">
        <v>101</v>
      </c>
      <c r="D6" s="6">
        <v>86</v>
      </c>
      <c r="E6" s="6">
        <v>114</v>
      </c>
      <c r="F6" s="6">
        <v>39</v>
      </c>
      <c r="G6" s="6">
        <v>52</v>
      </c>
      <c r="H6" s="6">
        <v>143</v>
      </c>
      <c r="I6" s="6">
        <v>83</v>
      </c>
      <c r="J6" s="6">
        <v>53</v>
      </c>
      <c r="K6" s="6">
        <v>74</v>
      </c>
      <c r="L6" s="6">
        <v>111</v>
      </c>
      <c r="M6" s="6">
        <v>177</v>
      </c>
      <c r="N6" s="6">
        <v>104</v>
      </c>
      <c r="O6" s="6">
        <v>75</v>
      </c>
      <c r="P6" s="6">
        <v>199</v>
      </c>
      <c r="Q6" s="6">
        <v>146</v>
      </c>
    </row>
    <row r="7" spans="1:32" x14ac:dyDescent="0.2">
      <c r="A7" s="5" t="s">
        <v>2</v>
      </c>
      <c r="B7" s="11">
        <f>AVERAGE(B3:E6)</f>
        <v>100</v>
      </c>
      <c r="C7" s="11"/>
      <c r="D7" s="11"/>
      <c r="E7" s="11"/>
      <c r="F7" s="11">
        <f>AVERAGE(F3:I6)</f>
        <v>77.3125</v>
      </c>
      <c r="G7" s="11"/>
      <c r="H7" s="11"/>
      <c r="I7" s="11"/>
      <c r="J7" s="11">
        <f>AVERAGE(J3:M6)</f>
        <v>78.125</v>
      </c>
      <c r="K7" s="11"/>
      <c r="L7" s="11"/>
      <c r="M7" s="11"/>
      <c r="N7" s="11">
        <f>AVERAGE(N3:Q6)</f>
        <v>124.125</v>
      </c>
      <c r="O7" s="11"/>
      <c r="P7" s="11"/>
      <c r="Q7" s="11"/>
    </row>
    <row r="8" spans="1:32" x14ac:dyDescent="0.2">
      <c r="A8" s="5" t="s">
        <v>3</v>
      </c>
      <c r="B8" s="11">
        <f>MEDIAN(B3:E6)</f>
        <v>100</v>
      </c>
      <c r="C8" s="11"/>
      <c r="D8" s="11"/>
      <c r="E8" s="11"/>
      <c r="F8" s="11">
        <f>MEDIAN(F3:I6)</f>
        <v>78</v>
      </c>
      <c r="G8" s="11"/>
      <c r="H8" s="11"/>
      <c r="I8" s="11"/>
      <c r="J8" s="11">
        <f>MEDIAN(J3:M6)</f>
        <v>67.5</v>
      </c>
      <c r="K8" s="11"/>
      <c r="L8" s="11"/>
      <c r="M8" s="11"/>
      <c r="N8" s="11">
        <f>MEDIAN(N3:Q6)</f>
        <v>131.5</v>
      </c>
      <c r="O8" s="11"/>
      <c r="P8" s="11"/>
      <c r="Q8" s="11"/>
    </row>
    <row r="9" spans="1:32" x14ac:dyDescent="0.2">
      <c r="A9" s="4"/>
      <c r="B9" s="4"/>
      <c r="C9" s="4"/>
      <c r="D9"/>
      <c r="E9"/>
      <c r="F9"/>
      <c r="G9"/>
      <c r="H9"/>
      <c r="I9"/>
      <c r="J9"/>
      <c r="K9"/>
      <c r="L9"/>
      <c r="M9"/>
      <c r="N9"/>
      <c r="O9"/>
      <c r="P9"/>
      <c r="Q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4"/>
      <c r="B10" s="4"/>
      <c r="C10" s="4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4"/>
      <c r="B11" s="4"/>
      <c r="C11" s="4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4"/>
      <c r="B12" s="4"/>
      <c r="C12" s="4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4"/>
      <c r="B13" s="4"/>
      <c r="C13" s="4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4"/>
      <c r="B14" s="4"/>
      <c r="C14" s="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A15" s="4"/>
      <c r="B15" s="4"/>
      <c r="C15" s="4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A16" s="4"/>
      <c r="B16" s="4"/>
      <c r="C16" s="4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A17" s="4"/>
      <c r="B17" s="4"/>
      <c r="C17" s="4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A18" s="4"/>
      <c r="B18" s="4"/>
      <c r="C18" s="4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A19" s="4"/>
      <c r="B19" s="4"/>
      <c r="C19" s="4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A20" s="4"/>
      <c r="B20" s="4"/>
      <c r="C20" s="4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A21" s="4"/>
      <c r="B21" s="4"/>
      <c r="C21" s="4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A22" s="4"/>
      <c r="B22" s="4"/>
      <c r="C22" s="4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A23" s="4"/>
      <c r="B23" s="4"/>
      <c r="C23" s="4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"/>
      <c r="B24" s="4"/>
      <c r="C24" s="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A25" s="4"/>
      <c r="B25" s="4"/>
      <c r="C25" s="4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2">
      <c r="A26" s="4"/>
      <c r="B26" s="4"/>
      <c r="C26" s="4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">
      <c r="A27" s="4"/>
      <c r="B27" s="4"/>
      <c r="C27" s="4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2">
      <c r="A28" s="4"/>
      <c r="B28" s="4"/>
      <c r="C28" s="4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">
      <c r="A29" s="4"/>
      <c r="B29" s="4"/>
      <c r="C29" s="4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x14ac:dyDescent="0.2">
      <c r="A30" s="4"/>
      <c r="B30" s="4"/>
      <c r="C30" s="4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x14ac:dyDescent="0.2">
      <c r="A31" s="4"/>
      <c r="B31" s="4"/>
      <c r="C31" s="4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x14ac:dyDescent="0.2">
      <c r="A32" s="4"/>
      <c r="B32" s="4"/>
      <c r="C32" s="4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x14ac:dyDescent="0.2">
      <c r="A33" s="4"/>
      <c r="B33" s="4"/>
      <c r="C33" s="4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x14ac:dyDescent="0.2">
      <c r="A34" s="4"/>
      <c r="B34" s="4"/>
      <c r="C34" s="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x14ac:dyDescent="0.2">
      <c r="A35" s="4"/>
      <c r="B35" s="4"/>
      <c r="C35" s="4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x14ac:dyDescent="0.2">
      <c r="A36" s="4"/>
      <c r="B36" s="4"/>
      <c r="C36" s="4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</sheetData>
  <mergeCells count="20">
    <mergeCell ref="B8:E8"/>
    <mergeCell ref="F8:I8"/>
    <mergeCell ref="J8:M8"/>
    <mergeCell ref="N8:Q8"/>
    <mergeCell ref="B1:E1"/>
    <mergeCell ref="F1:I1"/>
    <mergeCell ref="J1:M1"/>
    <mergeCell ref="N1:Q1"/>
    <mergeCell ref="B7:E7"/>
    <mergeCell ref="F7:I7"/>
    <mergeCell ref="J7:M7"/>
    <mergeCell ref="N7:Q7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5141-123F-0E45-9824-0D67CE736462}">
  <dimension ref="A1:Q10"/>
  <sheetViews>
    <sheetView workbookViewId="0">
      <selection activeCell="D13" sqref="D13"/>
    </sheetView>
  </sheetViews>
  <sheetFormatPr baseColWidth="10" defaultRowHeight="16" x14ac:dyDescent="0.2"/>
  <cols>
    <col min="1" max="1" width="13.5" customWidth="1"/>
    <col min="2" max="17" width="5" customWidth="1"/>
    <col min="20" max="20" width="24.83203125" customWidth="1"/>
  </cols>
  <sheetData>
    <row r="1" spans="1:17" s="3" customFormat="1" x14ac:dyDescent="0.15">
      <c r="A1" s="2"/>
      <c r="B1" s="14" t="s">
        <v>0</v>
      </c>
      <c r="C1" s="14"/>
      <c r="D1" s="14"/>
      <c r="E1" s="14"/>
      <c r="F1" s="14" t="s">
        <v>1</v>
      </c>
      <c r="G1" s="14"/>
      <c r="H1" s="14"/>
      <c r="I1" s="14"/>
      <c r="J1" s="14" t="s">
        <v>4</v>
      </c>
      <c r="K1" s="14"/>
      <c r="L1" s="14"/>
      <c r="M1" s="14"/>
      <c r="N1" s="14" t="s">
        <v>5</v>
      </c>
      <c r="O1" s="14"/>
      <c r="P1" s="14"/>
      <c r="Q1" s="14"/>
    </row>
    <row r="2" spans="1:17" s="3" customFormat="1" x14ac:dyDescent="0.15">
      <c r="A2" s="2" t="s">
        <v>6</v>
      </c>
      <c r="B2" s="12" t="s">
        <v>7</v>
      </c>
      <c r="C2" s="13"/>
      <c r="D2" s="12" t="s">
        <v>8</v>
      </c>
      <c r="E2" s="13"/>
      <c r="F2" s="12" t="s">
        <v>7</v>
      </c>
      <c r="G2" s="13"/>
      <c r="H2" s="12" t="s">
        <v>8</v>
      </c>
      <c r="I2" s="13"/>
      <c r="J2" s="12" t="s">
        <v>7</v>
      </c>
      <c r="K2" s="13"/>
      <c r="L2" s="12" t="s">
        <v>8</v>
      </c>
      <c r="M2" s="13"/>
      <c r="N2" s="12" t="s">
        <v>7</v>
      </c>
      <c r="O2" s="13"/>
      <c r="P2" s="12" t="s">
        <v>8</v>
      </c>
      <c r="Q2" s="13"/>
    </row>
    <row r="3" spans="1:17" s="3" customFormat="1" x14ac:dyDescent="0.2">
      <c r="A3" s="6">
        <v>1</v>
      </c>
      <c r="B3" s="6">
        <v>122</v>
      </c>
      <c r="C3" s="6">
        <v>78</v>
      </c>
      <c r="D3" s="6">
        <v>92</v>
      </c>
      <c r="E3" s="6">
        <v>108</v>
      </c>
      <c r="F3" s="6">
        <v>84</v>
      </c>
      <c r="G3" s="6">
        <v>89</v>
      </c>
      <c r="H3" s="6">
        <v>96</v>
      </c>
      <c r="I3" s="6">
        <v>92</v>
      </c>
      <c r="J3" s="6">
        <v>72</v>
      </c>
      <c r="K3" s="6">
        <v>94</v>
      </c>
      <c r="L3" s="6">
        <v>93</v>
      </c>
      <c r="M3" s="6">
        <v>101</v>
      </c>
      <c r="N3" s="6">
        <v>88</v>
      </c>
      <c r="O3" s="6">
        <v>78</v>
      </c>
      <c r="P3" s="6">
        <v>96</v>
      </c>
      <c r="Q3" s="6">
        <v>96</v>
      </c>
    </row>
    <row r="4" spans="1:17" s="3" customFormat="1" x14ac:dyDescent="0.2">
      <c r="A4" s="6">
        <v>2</v>
      </c>
      <c r="B4" s="6">
        <v>114</v>
      </c>
      <c r="C4" s="6">
        <v>86</v>
      </c>
      <c r="D4" s="6">
        <v>95</v>
      </c>
      <c r="E4" s="6">
        <v>105</v>
      </c>
      <c r="F4" s="6">
        <v>102</v>
      </c>
      <c r="G4" s="6">
        <v>91</v>
      </c>
      <c r="H4" s="6">
        <v>90</v>
      </c>
      <c r="I4" s="6">
        <v>76</v>
      </c>
      <c r="J4" s="6">
        <v>72</v>
      </c>
      <c r="K4" s="6">
        <v>68</v>
      </c>
      <c r="L4" s="6">
        <v>84</v>
      </c>
      <c r="M4" s="6">
        <v>102</v>
      </c>
      <c r="N4" s="6">
        <v>84</v>
      </c>
      <c r="O4" s="6">
        <v>76</v>
      </c>
      <c r="P4" s="6">
        <v>93</v>
      </c>
      <c r="Q4" s="6">
        <v>117</v>
      </c>
    </row>
    <row r="5" spans="1:17" s="3" customFormat="1" x14ac:dyDescent="0.2">
      <c r="A5" s="6">
        <v>3</v>
      </c>
      <c r="B5" s="6">
        <v>104</v>
      </c>
      <c r="C5" s="6">
        <v>96</v>
      </c>
      <c r="D5" s="6">
        <v>102</v>
      </c>
      <c r="E5" s="6">
        <v>98</v>
      </c>
      <c r="F5" s="6">
        <v>95</v>
      </c>
      <c r="G5" s="6">
        <v>83</v>
      </c>
      <c r="H5" s="6">
        <v>85</v>
      </c>
      <c r="I5" s="6">
        <v>103</v>
      </c>
      <c r="J5" s="6">
        <v>66</v>
      </c>
      <c r="K5" s="6">
        <v>72</v>
      </c>
      <c r="L5" s="6">
        <v>106</v>
      </c>
      <c r="M5" s="6">
        <v>128</v>
      </c>
      <c r="N5" s="6">
        <v>89</v>
      </c>
      <c r="O5" s="6">
        <v>101</v>
      </c>
      <c r="P5" s="6">
        <v>127</v>
      </c>
      <c r="Q5" s="6">
        <v>140</v>
      </c>
    </row>
    <row r="6" spans="1:17" s="3" customFormat="1" x14ac:dyDescent="0.2">
      <c r="A6" s="6">
        <v>4</v>
      </c>
      <c r="B6" s="6">
        <v>114</v>
      </c>
      <c r="C6" s="6">
        <v>86</v>
      </c>
      <c r="D6" s="6">
        <v>102</v>
      </c>
      <c r="E6" s="6">
        <v>98</v>
      </c>
      <c r="F6" s="6">
        <v>100</v>
      </c>
      <c r="G6" s="6">
        <v>80</v>
      </c>
      <c r="H6" s="6">
        <v>68</v>
      </c>
      <c r="I6" s="6">
        <v>92</v>
      </c>
      <c r="J6" s="6">
        <v>61</v>
      </c>
      <c r="K6" s="6">
        <v>92</v>
      </c>
      <c r="L6" s="6">
        <v>86</v>
      </c>
      <c r="M6" s="6">
        <v>117</v>
      </c>
      <c r="N6" s="6">
        <v>92</v>
      </c>
      <c r="O6" s="6">
        <v>102</v>
      </c>
      <c r="P6" s="6">
        <v>68</v>
      </c>
      <c r="Q6" s="6">
        <v>126</v>
      </c>
    </row>
    <row r="7" spans="1:17" s="3" customFormat="1" x14ac:dyDescent="0.2">
      <c r="A7" s="7" t="s">
        <v>2</v>
      </c>
      <c r="B7" s="11">
        <f>AVERAGE(B3:E6)</f>
        <v>100</v>
      </c>
      <c r="C7" s="11"/>
      <c r="D7" s="11"/>
      <c r="E7" s="11"/>
      <c r="F7" s="11">
        <f>AVERAGE(F3:I6)</f>
        <v>89.125</v>
      </c>
      <c r="G7" s="11"/>
      <c r="H7" s="11"/>
      <c r="I7" s="11"/>
      <c r="J7" s="11">
        <f>AVERAGE(J3:M6)</f>
        <v>88.375</v>
      </c>
      <c r="K7" s="11"/>
      <c r="L7" s="11"/>
      <c r="M7" s="11"/>
      <c r="N7" s="11">
        <f>AVERAGE(N3:Q6)</f>
        <v>98.3125</v>
      </c>
      <c r="O7" s="11"/>
      <c r="P7" s="11"/>
      <c r="Q7" s="11"/>
    </row>
    <row r="8" spans="1:17" s="3" customFormat="1" x14ac:dyDescent="0.2">
      <c r="A8" s="7" t="s">
        <v>3</v>
      </c>
      <c r="B8" s="11">
        <f>MEDIAN(B3:E6)</f>
        <v>100</v>
      </c>
      <c r="C8" s="11"/>
      <c r="D8" s="11"/>
      <c r="E8" s="11"/>
      <c r="F8" s="11">
        <f>MEDIAN(F3:I6)</f>
        <v>90.5</v>
      </c>
      <c r="G8" s="11"/>
      <c r="H8" s="11"/>
      <c r="I8" s="11"/>
      <c r="J8" s="11">
        <f>MEDIAN(J3:M6)</f>
        <v>89</v>
      </c>
      <c r="K8" s="11"/>
      <c r="L8" s="11"/>
      <c r="M8" s="11"/>
      <c r="N8" s="11">
        <f>MEDIAN(N3:Q6)</f>
        <v>94.5</v>
      </c>
      <c r="O8" s="11"/>
      <c r="P8" s="11"/>
      <c r="Q8" s="11"/>
    </row>
    <row r="9" spans="1:17" s="3" customFormat="1" x14ac:dyDescent="0.2"/>
    <row r="10" spans="1:17" s="3" customFormat="1" x14ac:dyDescent="0.2"/>
  </sheetData>
  <mergeCells count="20">
    <mergeCell ref="B8:E8"/>
    <mergeCell ref="F8:I8"/>
    <mergeCell ref="J8:M8"/>
    <mergeCell ref="N8:Q8"/>
    <mergeCell ref="B1:E1"/>
    <mergeCell ref="F1:I1"/>
    <mergeCell ref="J1:M1"/>
    <mergeCell ref="N1:Q1"/>
    <mergeCell ref="B7:E7"/>
    <mergeCell ref="F7:I7"/>
    <mergeCell ref="J7:M7"/>
    <mergeCell ref="N7:Q7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8502-4060-9C44-9550-A4105A413C8C}">
  <dimension ref="A1:Q41"/>
  <sheetViews>
    <sheetView workbookViewId="0">
      <selection activeCell="B27" sqref="B27"/>
    </sheetView>
  </sheetViews>
  <sheetFormatPr baseColWidth="10" defaultRowHeight="16" x14ac:dyDescent="0.2"/>
  <cols>
    <col min="1" max="1" width="10.6640625" customWidth="1"/>
    <col min="2" max="17" width="3.83203125" customWidth="1"/>
  </cols>
  <sheetData>
    <row r="1" spans="1:17" s="3" customFormat="1" x14ac:dyDescent="0.15">
      <c r="A1" s="2"/>
      <c r="B1" s="14" t="s">
        <v>0</v>
      </c>
      <c r="C1" s="14"/>
      <c r="D1" s="14"/>
      <c r="E1" s="14"/>
      <c r="F1" s="14" t="s">
        <v>1</v>
      </c>
      <c r="G1" s="14"/>
      <c r="H1" s="14"/>
      <c r="I1" s="14"/>
      <c r="J1" s="14" t="s">
        <v>4</v>
      </c>
      <c r="K1" s="14"/>
      <c r="L1" s="14"/>
      <c r="M1" s="14"/>
      <c r="N1" s="14" t="s">
        <v>5</v>
      </c>
      <c r="O1" s="14"/>
      <c r="P1" s="14"/>
      <c r="Q1" s="14"/>
    </row>
    <row r="2" spans="1:17" s="3" customFormat="1" x14ac:dyDescent="0.15">
      <c r="A2" s="2" t="s">
        <v>6</v>
      </c>
      <c r="B2" s="12" t="s">
        <v>7</v>
      </c>
      <c r="C2" s="13"/>
      <c r="D2" s="12" t="s">
        <v>8</v>
      </c>
      <c r="E2" s="13"/>
      <c r="F2" s="12" t="s">
        <v>7</v>
      </c>
      <c r="G2" s="13"/>
      <c r="H2" s="12" t="s">
        <v>8</v>
      </c>
      <c r="I2" s="13"/>
      <c r="J2" s="12" t="s">
        <v>7</v>
      </c>
      <c r="K2" s="13"/>
      <c r="L2" s="12" t="s">
        <v>8</v>
      </c>
      <c r="M2" s="13"/>
      <c r="N2" s="12" t="s">
        <v>7</v>
      </c>
      <c r="O2" s="13"/>
      <c r="P2" s="12" t="s">
        <v>8</v>
      </c>
      <c r="Q2" s="13"/>
    </row>
    <row r="3" spans="1:17" s="3" customFormat="1" x14ac:dyDescent="0.2">
      <c r="A3" s="6">
        <v>1</v>
      </c>
      <c r="B3" s="6">
        <v>90</v>
      </c>
      <c r="C3" s="6">
        <v>110</v>
      </c>
      <c r="D3" s="6">
        <v>107</v>
      </c>
      <c r="E3" s="6">
        <v>93</v>
      </c>
      <c r="F3" s="6">
        <v>116</v>
      </c>
      <c r="G3" s="6">
        <v>115</v>
      </c>
      <c r="H3" s="6">
        <v>116</v>
      </c>
      <c r="I3" s="6">
        <v>126</v>
      </c>
      <c r="J3" s="6">
        <v>124</v>
      </c>
      <c r="K3" s="6">
        <v>109</v>
      </c>
      <c r="L3" s="6">
        <v>102</v>
      </c>
      <c r="M3" s="6">
        <v>113</v>
      </c>
      <c r="N3" s="6">
        <v>75</v>
      </c>
      <c r="O3" s="6">
        <v>73</v>
      </c>
      <c r="P3" s="6">
        <v>145</v>
      </c>
      <c r="Q3" s="6">
        <v>96</v>
      </c>
    </row>
    <row r="4" spans="1:17" s="3" customFormat="1" x14ac:dyDescent="0.2">
      <c r="A4" s="6">
        <v>2</v>
      </c>
      <c r="B4" s="6">
        <v>97</v>
      </c>
      <c r="C4" s="6">
        <v>103</v>
      </c>
      <c r="D4" s="6">
        <v>89</v>
      </c>
      <c r="E4" s="6">
        <v>111</v>
      </c>
      <c r="F4" s="6">
        <v>119</v>
      </c>
      <c r="G4" s="6">
        <v>118</v>
      </c>
      <c r="H4" s="6">
        <v>144</v>
      </c>
      <c r="I4" s="6">
        <v>125</v>
      </c>
      <c r="J4" s="6">
        <v>133</v>
      </c>
      <c r="K4" s="6">
        <v>97</v>
      </c>
      <c r="L4" s="6">
        <v>118</v>
      </c>
      <c r="M4" s="6">
        <v>93</v>
      </c>
      <c r="N4" s="6">
        <v>95</v>
      </c>
      <c r="O4" s="6">
        <v>107</v>
      </c>
      <c r="P4" s="6">
        <v>133</v>
      </c>
      <c r="Q4" s="6">
        <v>105</v>
      </c>
    </row>
    <row r="5" spans="1:17" s="3" customFormat="1" x14ac:dyDescent="0.2">
      <c r="A5" s="6">
        <v>3</v>
      </c>
      <c r="B5" s="6">
        <v>98</v>
      </c>
      <c r="C5" s="6">
        <v>102</v>
      </c>
      <c r="D5" s="6">
        <v>101</v>
      </c>
      <c r="E5" s="6">
        <v>99</v>
      </c>
      <c r="F5" s="6">
        <v>94</v>
      </c>
      <c r="G5" s="6">
        <v>109</v>
      </c>
      <c r="H5" s="6">
        <v>119</v>
      </c>
      <c r="I5" s="6">
        <v>91</v>
      </c>
      <c r="J5" s="6">
        <v>99</v>
      </c>
      <c r="K5" s="6">
        <v>81</v>
      </c>
      <c r="L5" s="6">
        <v>119</v>
      </c>
      <c r="M5" s="6">
        <v>95</v>
      </c>
      <c r="N5" s="6">
        <v>57</v>
      </c>
      <c r="O5" s="6">
        <v>71</v>
      </c>
      <c r="P5" s="6">
        <v>99</v>
      </c>
      <c r="Q5" s="6">
        <v>88</v>
      </c>
    </row>
    <row r="6" spans="1:17" s="3" customFormat="1" x14ac:dyDescent="0.2">
      <c r="A6" s="6">
        <v>4</v>
      </c>
      <c r="B6" s="6">
        <v>101</v>
      </c>
      <c r="C6" s="6">
        <v>99</v>
      </c>
      <c r="D6" s="6">
        <v>101</v>
      </c>
      <c r="E6" s="6">
        <v>99</v>
      </c>
      <c r="F6" s="6">
        <v>114</v>
      </c>
      <c r="G6" s="6">
        <v>98</v>
      </c>
      <c r="H6" s="6">
        <v>116</v>
      </c>
      <c r="I6" s="6">
        <v>110</v>
      </c>
      <c r="J6" s="6">
        <v>101</v>
      </c>
      <c r="K6" s="6">
        <v>100</v>
      </c>
      <c r="L6" s="6">
        <v>106</v>
      </c>
      <c r="M6" s="6">
        <v>89</v>
      </c>
      <c r="N6" s="6">
        <v>64</v>
      </c>
      <c r="O6" s="6">
        <v>77</v>
      </c>
      <c r="P6" s="6">
        <v>132</v>
      </c>
      <c r="Q6" s="6">
        <v>109</v>
      </c>
    </row>
    <row r="7" spans="1:17" s="3" customFormat="1" x14ac:dyDescent="0.2">
      <c r="A7" s="7" t="s">
        <v>2</v>
      </c>
      <c r="B7" s="11">
        <f>AVERAGE(B3:E6)</f>
        <v>100</v>
      </c>
      <c r="C7" s="11"/>
      <c r="D7" s="11"/>
      <c r="E7" s="11"/>
      <c r="F7" s="11">
        <f>AVERAGE(F3:I6)</f>
        <v>114.375</v>
      </c>
      <c r="G7" s="11"/>
      <c r="H7" s="11"/>
      <c r="I7" s="11"/>
      <c r="J7" s="11">
        <f>AVERAGE(J3:M6)</f>
        <v>104.9375</v>
      </c>
      <c r="K7" s="11"/>
      <c r="L7" s="11"/>
      <c r="M7" s="11"/>
      <c r="N7" s="11">
        <f>AVERAGE(N3:Q6)</f>
        <v>95.375</v>
      </c>
      <c r="O7" s="11"/>
      <c r="P7" s="11"/>
      <c r="Q7" s="11"/>
    </row>
    <row r="8" spans="1:17" s="3" customFormat="1" x14ac:dyDescent="0.2">
      <c r="A8" s="7" t="s">
        <v>3</v>
      </c>
      <c r="B8" s="11">
        <f>MEDIAN(B3:E6)</f>
        <v>100</v>
      </c>
      <c r="C8" s="11"/>
      <c r="D8" s="11"/>
      <c r="E8" s="11"/>
      <c r="F8" s="11">
        <f>MEDIAN(F3:I6)</f>
        <v>116</v>
      </c>
      <c r="G8" s="11"/>
      <c r="H8" s="11"/>
      <c r="I8" s="11"/>
      <c r="J8" s="11">
        <f>MEDIAN(J3:M6)</f>
        <v>101.5</v>
      </c>
      <c r="K8" s="11"/>
      <c r="L8" s="11"/>
      <c r="M8" s="11"/>
      <c r="N8" s="11">
        <f>MEDIAN(N3:Q6)</f>
        <v>95.5</v>
      </c>
      <c r="O8" s="11"/>
      <c r="P8" s="11"/>
      <c r="Q8" s="11"/>
    </row>
    <row r="9" spans="1:17" s="3" customFormat="1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3" spans="1:17" x14ac:dyDescent="0.2">
      <c r="A13" s="8"/>
      <c r="B13" s="9"/>
      <c r="C13" s="9"/>
      <c r="D13" s="9"/>
      <c r="E13" s="9"/>
      <c r="F13" s="9"/>
      <c r="H13" s="8"/>
      <c r="I13" s="9"/>
      <c r="J13" s="9"/>
      <c r="K13" s="9"/>
      <c r="L13" s="9"/>
      <c r="M13" s="9"/>
      <c r="N13" s="9"/>
      <c r="O13" s="9"/>
      <c r="P13" s="9"/>
    </row>
    <row r="14" spans="1:17" x14ac:dyDescent="0.2">
      <c r="A14" s="8"/>
      <c r="B14" s="9"/>
      <c r="C14" s="9"/>
      <c r="D14" s="9"/>
      <c r="E14" s="9"/>
      <c r="F14" s="9"/>
      <c r="H14" s="8"/>
      <c r="I14" s="9"/>
      <c r="J14" s="9"/>
      <c r="K14" s="9"/>
      <c r="L14" s="9"/>
      <c r="M14" s="9"/>
      <c r="N14" s="9"/>
      <c r="O14" s="9"/>
      <c r="P14" s="9"/>
    </row>
    <row r="15" spans="1:17" x14ac:dyDescent="0.2">
      <c r="A15" s="8"/>
      <c r="B15" s="9"/>
      <c r="C15" s="9"/>
      <c r="D15" s="9"/>
      <c r="E15" s="9"/>
      <c r="F15" s="9"/>
      <c r="H15" s="8"/>
      <c r="I15" s="9"/>
      <c r="J15" s="9"/>
      <c r="K15" s="9"/>
      <c r="L15" s="9"/>
      <c r="M15" s="9"/>
      <c r="N15" s="9"/>
      <c r="O15" s="9"/>
      <c r="P15" s="9"/>
    </row>
    <row r="16" spans="1:17" x14ac:dyDescent="0.2">
      <c r="A16" s="8"/>
      <c r="B16" s="9"/>
      <c r="C16" s="9"/>
      <c r="D16" s="9"/>
      <c r="E16" s="9"/>
      <c r="F16" s="9"/>
      <c r="H16" s="8"/>
      <c r="I16" s="9"/>
      <c r="J16" s="9"/>
      <c r="K16" s="9"/>
      <c r="L16" s="9"/>
      <c r="M16" s="9"/>
      <c r="N16" s="9"/>
      <c r="O16" s="9"/>
      <c r="P16" s="9"/>
    </row>
    <row r="17" spans="1:16" x14ac:dyDescent="0.2">
      <c r="A17" s="8"/>
      <c r="B17" s="9"/>
      <c r="C17" s="9"/>
      <c r="D17" s="9"/>
      <c r="E17" s="9"/>
      <c r="F17" s="9"/>
      <c r="H17" s="8"/>
      <c r="I17" s="9"/>
      <c r="J17" s="9"/>
      <c r="K17" s="9"/>
      <c r="L17" s="9"/>
      <c r="M17" s="9"/>
      <c r="N17" s="9"/>
      <c r="O17" s="9"/>
      <c r="P17" s="9"/>
    </row>
    <row r="18" spans="1:16" x14ac:dyDescent="0.2">
      <c r="A18" s="8"/>
      <c r="B18" s="9"/>
      <c r="C18" s="9"/>
      <c r="D18" s="9"/>
      <c r="E18" s="9"/>
      <c r="F18" s="9"/>
      <c r="H18" s="8"/>
      <c r="I18" s="9"/>
      <c r="J18" s="9"/>
      <c r="K18" s="9"/>
      <c r="L18" s="9"/>
      <c r="M18" s="9"/>
      <c r="N18" s="9"/>
      <c r="O18" s="16"/>
      <c r="P18" s="9"/>
    </row>
    <row r="19" spans="1:16" x14ac:dyDescent="0.2">
      <c r="A19" s="8"/>
      <c r="B19" s="9"/>
      <c r="C19" s="9"/>
      <c r="D19" s="9"/>
      <c r="E19" s="9"/>
      <c r="F19" s="9"/>
      <c r="H19" s="8"/>
      <c r="I19" s="9"/>
      <c r="J19" s="9"/>
      <c r="K19" s="9"/>
      <c r="L19" s="9"/>
      <c r="M19" s="9"/>
      <c r="N19" s="9"/>
      <c r="O19" s="9"/>
      <c r="P19" s="9"/>
    </row>
    <row r="20" spans="1:16" x14ac:dyDescent="0.2">
      <c r="A20" s="8"/>
      <c r="B20" s="9"/>
      <c r="C20" s="9"/>
      <c r="D20" s="9"/>
      <c r="E20" s="9"/>
      <c r="F20" s="9"/>
      <c r="H20" s="8"/>
      <c r="I20" s="9"/>
      <c r="J20" s="9"/>
      <c r="K20" s="9"/>
      <c r="L20" s="9"/>
      <c r="M20" s="9"/>
      <c r="N20" s="9"/>
      <c r="O20" s="9"/>
      <c r="P20" s="9"/>
    </row>
    <row r="21" spans="1:16" x14ac:dyDescent="0.2">
      <c r="A21" s="8"/>
      <c r="B21" s="9"/>
      <c r="C21" s="9"/>
      <c r="D21" s="9"/>
      <c r="E21" s="9"/>
      <c r="F21" s="9"/>
      <c r="H21" s="8"/>
      <c r="I21" s="9"/>
      <c r="J21" s="9"/>
      <c r="K21" s="9"/>
      <c r="L21" s="9"/>
      <c r="M21" s="9"/>
      <c r="N21" s="9"/>
      <c r="O21" s="9"/>
      <c r="P21" s="9"/>
    </row>
    <row r="22" spans="1:16" x14ac:dyDescent="0.2">
      <c r="A22" s="8"/>
      <c r="B22" s="9"/>
      <c r="C22" s="9"/>
      <c r="D22" s="9"/>
      <c r="E22" s="9"/>
      <c r="F22" s="9"/>
      <c r="H22" s="8"/>
      <c r="I22" s="9"/>
      <c r="J22" s="9"/>
      <c r="K22" s="9"/>
      <c r="L22" s="9"/>
      <c r="M22" s="9"/>
      <c r="N22" s="9"/>
      <c r="O22" s="9"/>
      <c r="P22" s="9"/>
    </row>
    <row r="23" spans="1:16" x14ac:dyDescent="0.2">
      <c r="A23" s="8"/>
      <c r="B23" s="9"/>
      <c r="C23" s="9"/>
      <c r="D23" s="9"/>
      <c r="E23" s="9"/>
      <c r="F23" s="9"/>
      <c r="H23" s="8"/>
      <c r="I23" s="9"/>
      <c r="J23" s="9"/>
      <c r="K23" s="9"/>
      <c r="L23" s="9"/>
      <c r="M23" s="9"/>
      <c r="N23" s="9"/>
      <c r="O23" s="9"/>
      <c r="P23" s="9"/>
    </row>
    <row r="24" spans="1:16" x14ac:dyDescent="0.2">
      <c r="A24" s="8"/>
      <c r="B24" s="9"/>
      <c r="C24" s="9"/>
      <c r="D24" s="9"/>
      <c r="E24" s="9"/>
      <c r="F24" s="9"/>
      <c r="H24" s="8"/>
      <c r="I24" s="9"/>
      <c r="J24" s="9"/>
      <c r="K24" s="9"/>
      <c r="L24" s="9"/>
      <c r="M24" s="9"/>
      <c r="N24" s="9"/>
      <c r="O24" s="9"/>
      <c r="P24" s="9"/>
    </row>
    <row r="25" spans="1:16" x14ac:dyDescent="0.2">
      <c r="A25" s="8"/>
      <c r="B25" s="9"/>
      <c r="C25" s="9"/>
      <c r="D25" s="9"/>
      <c r="E25" s="9"/>
      <c r="F25" s="9"/>
      <c r="H25" s="8"/>
      <c r="I25" s="9"/>
      <c r="J25" s="9"/>
      <c r="K25" s="9"/>
      <c r="L25" s="9"/>
      <c r="M25" s="9"/>
      <c r="N25" s="9"/>
      <c r="O25" s="9"/>
      <c r="P25" s="9"/>
    </row>
    <row r="26" spans="1:16" x14ac:dyDescent="0.2">
      <c r="A26" s="8"/>
      <c r="B26" s="9"/>
      <c r="C26" s="9"/>
      <c r="D26" s="9"/>
      <c r="E26" s="9"/>
      <c r="F26" s="9"/>
      <c r="H26" s="8"/>
      <c r="I26" s="9"/>
      <c r="J26" s="9"/>
      <c r="K26" s="9"/>
      <c r="L26" s="9"/>
      <c r="M26" s="9"/>
      <c r="N26" s="9"/>
      <c r="O26" s="9"/>
      <c r="P26" s="9"/>
    </row>
    <row r="27" spans="1:16" x14ac:dyDescent="0.2">
      <c r="A27" s="8"/>
      <c r="B27" s="9"/>
      <c r="C27" s="9"/>
      <c r="D27" s="9"/>
      <c r="E27" s="9"/>
      <c r="F27" s="9"/>
      <c r="H27" s="8"/>
      <c r="I27" s="9"/>
      <c r="J27" s="9"/>
      <c r="K27" s="9"/>
      <c r="L27" s="9"/>
      <c r="M27" s="9"/>
      <c r="N27" s="9"/>
      <c r="O27" s="9"/>
      <c r="P27" s="9"/>
    </row>
    <row r="28" spans="1:16" x14ac:dyDescent="0.2">
      <c r="A28" s="8"/>
      <c r="B28" s="9"/>
      <c r="C28" s="9"/>
      <c r="D28" s="9"/>
      <c r="E28" s="9"/>
      <c r="F28" s="9"/>
      <c r="H28" s="8"/>
      <c r="I28" s="9"/>
      <c r="J28" s="9"/>
      <c r="K28" s="9"/>
      <c r="L28" s="9"/>
      <c r="M28" s="9"/>
      <c r="N28" s="9"/>
      <c r="O28" s="9"/>
      <c r="P28" s="9"/>
    </row>
    <row r="29" spans="1:16" x14ac:dyDescent="0.2">
      <c r="A29" s="8"/>
      <c r="B29" s="9"/>
      <c r="C29" s="9"/>
      <c r="D29" s="9"/>
      <c r="E29" s="9"/>
      <c r="F29" s="9"/>
      <c r="H29" s="8"/>
      <c r="I29" s="9"/>
      <c r="J29" s="9"/>
      <c r="K29" s="9"/>
      <c r="L29" s="9"/>
      <c r="M29" s="9"/>
      <c r="N29" s="9"/>
      <c r="O29" s="9"/>
      <c r="P29" s="9"/>
    </row>
    <row r="30" spans="1:16" x14ac:dyDescent="0.2">
      <c r="A30" s="8"/>
      <c r="B30" s="9"/>
      <c r="C30" s="9"/>
      <c r="D30" s="9"/>
      <c r="E30" s="9"/>
      <c r="F30" s="9"/>
      <c r="H30" s="8"/>
      <c r="I30" s="9"/>
      <c r="J30" s="9"/>
      <c r="K30" s="9"/>
      <c r="L30" s="9"/>
      <c r="M30" s="9"/>
      <c r="N30" s="9"/>
      <c r="O30" s="9"/>
      <c r="P30" s="9"/>
    </row>
    <row r="31" spans="1:16" x14ac:dyDescent="0.2">
      <c r="A31" s="8"/>
      <c r="B31" s="9"/>
      <c r="C31" s="9"/>
      <c r="D31" s="9"/>
      <c r="E31" s="9"/>
      <c r="F31" s="9"/>
      <c r="H31" s="8"/>
      <c r="I31" s="9"/>
      <c r="J31" s="9"/>
      <c r="K31" s="9"/>
      <c r="L31" s="9"/>
      <c r="M31" s="9"/>
      <c r="N31" s="9"/>
      <c r="O31" s="9"/>
      <c r="P31" s="9"/>
    </row>
    <row r="32" spans="1:16" x14ac:dyDescent="0.2">
      <c r="A32" s="8"/>
      <c r="B32" s="9"/>
      <c r="C32" s="9"/>
      <c r="D32" s="9"/>
      <c r="E32" s="9"/>
      <c r="F32" s="9"/>
    </row>
    <row r="33" spans="1:6" x14ac:dyDescent="0.2">
      <c r="A33" s="8"/>
      <c r="B33" s="9"/>
      <c r="C33" s="9"/>
      <c r="D33" s="9"/>
      <c r="E33" s="9"/>
      <c r="F33" s="9"/>
    </row>
    <row r="34" spans="1:6" x14ac:dyDescent="0.2">
      <c r="A34" s="8"/>
      <c r="B34" s="9"/>
      <c r="C34" s="9"/>
      <c r="D34" s="9"/>
      <c r="E34" s="9"/>
      <c r="F34" s="9"/>
    </row>
    <row r="35" spans="1:6" x14ac:dyDescent="0.2">
      <c r="A35" s="8"/>
      <c r="B35" s="9"/>
      <c r="C35" s="9"/>
      <c r="D35" s="9"/>
      <c r="E35" s="9"/>
      <c r="F35" s="9"/>
    </row>
    <row r="36" spans="1:6" x14ac:dyDescent="0.2">
      <c r="A36" s="8"/>
      <c r="B36" s="9"/>
      <c r="C36" s="9"/>
      <c r="D36" s="9"/>
      <c r="E36" s="9"/>
      <c r="F36" s="9"/>
    </row>
    <row r="37" spans="1:6" x14ac:dyDescent="0.2">
      <c r="A37" s="8"/>
      <c r="B37" s="9"/>
      <c r="C37" s="9"/>
      <c r="D37" s="9"/>
      <c r="E37" s="9"/>
      <c r="F37" s="9"/>
    </row>
    <row r="38" spans="1:6" x14ac:dyDescent="0.2">
      <c r="A38" s="8"/>
      <c r="B38" s="9"/>
      <c r="C38" s="9"/>
      <c r="D38" s="9"/>
      <c r="E38" s="9"/>
      <c r="F38" s="9"/>
    </row>
    <row r="39" spans="1:6" x14ac:dyDescent="0.2">
      <c r="A39" s="8"/>
      <c r="B39" s="9"/>
      <c r="C39" s="9"/>
      <c r="D39" s="9"/>
      <c r="E39" s="9"/>
      <c r="F39" s="9"/>
    </row>
    <row r="40" spans="1:6" x14ac:dyDescent="0.2">
      <c r="A40" s="8"/>
      <c r="B40" s="9"/>
      <c r="C40" s="9"/>
      <c r="D40" s="9"/>
      <c r="E40" s="9"/>
      <c r="F40" s="9"/>
    </row>
    <row r="41" spans="1:6" x14ac:dyDescent="0.2">
      <c r="A41" s="8"/>
      <c r="B41" s="9"/>
      <c r="C41" s="9"/>
      <c r="D41" s="9"/>
      <c r="E41" s="9"/>
      <c r="F41" s="9"/>
    </row>
  </sheetData>
  <mergeCells count="20">
    <mergeCell ref="B8:E8"/>
    <mergeCell ref="F8:I8"/>
    <mergeCell ref="J8:M8"/>
    <mergeCell ref="N8:Q8"/>
    <mergeCell ref="B1:E1"/>
    <mergeCell ref="F1:I1"/>
    <mergeCell ref="J1:M1"/>
    <mergeCell ref="N1:Q1"/>
    <mergeCell ref="B7:E7"/>
    <mergeCell ref="F7:I7"/>
    <mergeCell ref="J7:M7"/>
    <mergeCell ref="N7:Q7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C671-4579-AD49-82E2-7E20D0AD3D01}">
  <dimension ref="A1:Q13"/>
  <sheetViews>
    <sheetView workbookViewId="0">
      <selection activeCell="C16" sqref="C16"/>
    </sheetView>
  </sheetViews>
  <sheetFormatPr baseColWidth="10" defaultRowHeight="16" x14ac:dyDescent="0.2"/>
  <cols>
    <col min="1" max="1" width="10.83203125" style="1"/>
    <col min="2" max="17" width="3.6640625" style="1" customWidth="1"/>
    <col min="18" max="16384" width="10.83203125" style="1"/>
  </cols>
  <sheetData>
    <row r="1" spans="1:17" x14ac:dyDescent="0.2">
      <c r="A1" s="2" t="s">
        <v>6</v>
      </c>
      <c r="B1" s="10" t="s">
        <v>0</v>
      </c>
      <c r="C1" s="10"/>
      <c r="D1" s="10"/>
      <c r="E1" s="10"/>
      <c r="F1" s="10" t="s">
        <v>1</v>
      </c>
      <c r="G1" s="10"/>
      <c r="H1" s="10"/>
      <c r="I1" s="10"/>
      <c r="J1" s="10" t="s">
        <v>4</v>
      </c>
      <c r="K1" s="10"/>
      <c r="L1" s="10"/>
      <c r="M1" s="10"/>
      <c r="N1" s="10" t="s">
        <v>5</v>
      </c>
      <c r="O1" s="10"/>
      <c r="P1" s="10"/>
      <c r="Q1" s="10"/>
    </row>
    <row r="2" spans="1:17" x14ac:dyDescent="0.2">
      <c r="A2" s="2" t="s">
        <v>6</v>
      </c>
      <c r="B2" s="12" t="s">
        <v>7</v>
      </c>
      <c r="C2" s="13"/>
      <c r="D2" s="12" t="s">
        <v>8</v>
      </c>
      <c r="E2" s="13"/>
      <c r="F2" s="12" t="s">
        <v>7</v>
      </c>
      <c r="G2" s="13"/>
      <c r="H2" s="12" t="s">
        <v>8</v>
      </c>
      <c r="I2" s="13"/>
      <c r="J2" s="12" t="s">
        <v>7</v>
      </c>
      <c r="K2" s="13"/>
      <c r="L2" s="12" t="s">
        <v>8</v>
      </c>
      <c r="M2" s="13"/>
      <c r="N2" s="12" t="s">
        <v>7</v>
      </c>
      <c r="O2" s="13"/>
      <c r="P2" s="12" t="s">
        <v>8</v>
      </c>
      <c r="Q2" s="13"/>
    </row>
    <row r="3" spans="1:17" x14ac:dyDescent="0.2">
      <c r="A3" s="2">
        <v>1</v>
      </c>
      <c r="B3" s="2">
        <v>93</v>
      </c>
      <c r="C3" s="2">
        <v>99</v>
      </c>
      <c r="D3" s="2">
        <v>79</v>
      </c>
      <c r="E3" s="2">
        <v>129</v>
      </c>
      <c r="F3" s="2">
        <v>54</v>
      </c>
      <c r="G3" s="2">
        <v>123</v>
      </c>
      <c r="H3" s="2">
        <v>74</v>
      </c>
      <c r="I3" s="2">
        <v>96</v>
      </c>
      <c r="J3" s="2">
        <v>121</v>
      </c>
      <c r="K3" s="2">
        <v>85</v>
      </c>
      <c r="L3" s="2">
        <v>159</v>
      </c>
      <c r="M3" s="2">
        <v>104</v>
      </c>
      <c r="N3" s="2">
        <v>98</v>
      </c>
      <c r="O3" s="2">
        <v>129</v>
      </c>
      <c r="P3" s="2">
        <v>153</v>
      </c>
      <c r="Q3" s="2">
        <v>101</v>
      </c>
    </row>
    <row r="4" spans="1:17" x14ac:dyDescent="0.2">
      <c r="A4" s="2">
        <v>2</v>
      </c>
      <c r="B4" s="2">
        <v>108</v>
      </c>
      <c r="C4" s="2">
        <v>130</v>
      </c>
      <c r="D4" s="2">
        <v>110</v>
      </c>
      <c r="E4" s="2">
        <v>52</v>
      </c>
      <c r="F4" s="2">
        <v>75</v>
      </c>
      <c r="G4" s="2">
        <v>94</v>
      </c>
      <c r="H4" s="2">
        <v>106</v>
      </c>
      <c r="I4" s="2">
        <v>112</v>
      </c>
      <c r="J4" s="2">
        <v>134</v>
      </c>
      <c r="K4" s="2">
        <v>178</v>
      </c>
      <c r="L4" s="2">
        <v>155</v>
      </c>
      <c r="M4" s="2">
        <v>138</v>
      </c>
      <c r="N4" s="2">
        <v>187</v>
      </c>
      <c r="O4" s="2">
        <v>155</v>
      </c>
      <c r="P4" s="2">
        <v>232</v>
      </c>
      <c r="Q4" s="2">
        <v>237</v>
      </c>
    </row>
    <row r="5" spans="1:17" x14ac:dyDescent="0.2">
      <c r="A5" s="2">
        <v>3</v>
      </c>
      <c r="B5" s="2">
        <v>110</v>
      </c>
      <c r="C5" s="2">
        <v>62</v>
      </c>
      <c r="D5" s="2">
        <v>133</v>
      </c>
      <c r="E5" s="2">
        <v>95</v>
      </c>
      <c r="F5" s="2">
        <v>93</v>
      </c>
      <c r="G5" s="2">
        <v>98</v>
      </c>
      <c r="H5" s="2">
        <v>77</v>
      </c>
      <c r="I5" s="2">
        <v>132</v>
      </c>
      <c r="J5" s="2">
        <v>120</v>
      </c>
      <c r="K5" s="2">
        <v>133</v>
      </c>
      <c r="L5" s="2">
        <v>123</v>
      </c>
      <c r="M5" s="2">
        <v>159</v>
      </c>
      <c r="N5" s="2">
        <v>37</v>
      </c>
      <c r="O5" s="2">
        <v>139</v>
      </c>
      <c r="P5" s="2">
        <v>179</v>
      </c>
      <c r="Q5" s="2">
        <v>139</v>
      </c>
    </row>
    <row r="6" spans="1:17" x14ac:dyDescent="0.2">
      <c r="A6" s="2">
        <v>4</v>
      </c>
      <c r="B6" s="2">
        <v>154</v>
      </c>
      <c r="C6" s="2">
        <v>74</v>
      </c>
      <c r="D6" s="2">
        <v>103</v>
      </c>
      <c r="E6" s="2">
        <v>70</v>
      </c>
      <c r="F6" s="2">
        <v>53</v>
      </c>
      <c r="G6" s="2">
        <v>150</v>
      </c>
      <c r="H6" s="2">
        <v>113</v>
      </c>
      <c r="I6" s="2">
        <v>195</v>
      </c>
      <c r="J6" s="2">
        <v>164</v>
      </c>
      <c r="K6" s="2">
        <v>150</v>
      </c>
      <c r="L6" s="2">
        <v>174</v>
      </c>
      <c r="M6" s="2">
        <v>187</v>
      </c>
      <c r="N6" s="2">
        <v>107</v>
      </c>
      <c r="O6" s="2">
        <v>174</v>
      </c>
      <c r="P6" s="2">
        <v>246</v>
      </c>
      <c r="Q6" s="2">
        <v>246</v>
      </c>
    </row>
    <row r="7" spans="1:17" x14ac:dyDescent="0.2">
      <c r="A7" s="2">
        <v>5</v>
      </c>
      <c r="B7" s="2">
        <v>180</v>
      </c>
      <c r="C7" s="2">
        <v>100</v>
      </c>
      <c r="D7" s="2">
        <v>90</v>
      </c>
      <c r="E7" s="2">
        <v>31</v>
      </c>
      <c r="F7" s="2">
        <v>115</v>
      </c>
      <c r="G7" s="2">
        <v>209</v>
      </c>
      <c r="H7" s="2">
        <v>111</v>
      </c>
      <c r="I7" s="2">
        <v>203</v>
      </c>
      <c r="J7" s="2">
        <v>189</v>
      </c>
      <c r="K7" s="2">
        <v>176</v>
      </c>
      <c r="L7" s="2">
        <v>238</v>
      </c>
      <c r="M7" s="2">
        <v>291</v>
      </c>
      <c r="N7" s="2">
        <v>160</v>
      </c>
      <c r="O7" s="2">
        <v>230</v>
      </c>
      <c r="P7" s="2">
        <v>260</v>
      </c>
      <c r="Q7" s="2">
        <v>297</v>
      </c>
    </row>
    <row r="8" spans="1:17" x14ac:dyDescent="0.2">
      <c r="A8" s="2">
        <v>6</v>
      </c>
      <c r="B8" s="2">
        <v>78</v>
      </c>
      <c r="C8" s="2">
        <v>117</v>
      </c>
      <c r="D8" s="2">
        <v>126</v>
      </c>
      <c r="E8" s="2">
        <v>78</v>
      </c>
      <c r="F8" s="2">
        <v>129</v>
      </c>
      <c r="G8" s="2">
        <v>255</v>
      </c>
      <c r="H8" s="2">
        <v>110</v>
      </c>
      <c r="I8" s="2">
        <v>152</v>
      </c>
      <c r="J8" s="2">
        <v>163</v>
      </c>
      <c r="K8" s="2">
        <v>246</v>
      </c>
      <c r="L8" s="2">
        <v>163</v>
      </c>
      <c r="M8" s="2">
        <v>239</v>
      </c>
      <c r="N8" s="2">
        <v>138</v>
      </c>
      <c r="O8" s="2">
        <v>186</v>
      </c>
      <c r="P8" s="2">
        <v>267</v>
      </c>
      <c r="Q8" s="2">
        <v>280</v>
      </c>
    </row>
    <row r="9" spans="1:17" x14ac:dyDescent="0.2">
      <c r="A9" s="2">
        <v>7</v>
      </c>
      <c r="B9" s="2">
        <v>136</v>
      </c>
      <c r="C9" s="2">
        <v>106</v>
      </c>
      <c r="D9" s="2">
        <v>66</v>
      </c>
      <c r="E9" s="2">
        <v>92</v>
      </c>
      <c r="F9" s="2">
        <v>84</v>
      </c>
      <c r="G9" s="2">
        <v>163</v>
      </c>
      <c r="H9" s="2">
        <v>52</v>
      </c>
      <c r="I9" s="2">
        <v>166</v>
      </c>
      <c r="J9" s="2">
        <v>76</v>
      </c>
      <c r="K9" s="2">
        <v>187</v>
      </c>
      <c r="L9" s="2">
        <v>142</v>
      </c>
      <c r="M9" s="2">
        <v>100</v>
      </c>
      <c r="N9" s="2">
        <v>119</v>
      </c>
      <c r="O9" s="2">
        <v>171</v>
      </c>
      <c r="P9" s="2">
        <v>193</v>
      </c>
      <c r="Q9" s="2">
        <v>196</v>
      </c>
    </row>
    <row r="10" spans="1:17" s="3" customFormat="1" x14ac:dyDescent="0.2">
      <c r="A10" s="7" t="s">
        <v>2</v>
      </c>
      <c r="B10" s="11">
        <f>AVERAGE(B3:E9)</f>
        <v>100.03571428571429</v>
      </c>
      <c r="C10" s="11"/>
      <c r="D10" s="11"/>
      <c r="E10" s="11"/>
      <c r="F10" s="11">
        <f>AVERAGE(F3:I9)</f>
        <v>121.21428571428571</v>
      </c>
      <c r="G10" s="11"/>
      <c r="H10" s="11"/>
      <c r="I10" s="11"/>
      <c r="J10" s="11">
        <f>AVERAGE(J3:M9)</f>
        <v>160.5</v>
      </c>
      <c r="K10" s="11"/>
      <c r="L10" s="11"/>
      <c r="M10" s="11"/>
      <c r="N10" s="11">
        <f>AVERAGE(N3:Q9)</f>
        <v>180.57142857142858</v>
      </c>
      <c r="O10" s="11"/>
      <c r="P10" s="11"/>
      <c r="Q10" s="11"/>
    </row>
    <row r="11" spans="1:17" s="3" customFormat="1" x14ac:dyDescent="0.2">
      <c r="A11" s="7" t="s">
        <v>3</v>
      </c>
      <c r="B11" s="11">
        <f>MEDIAN(B3:E9)</f>
        <v>99.5</v>
      </c>
      <c r="C11" s="11"/>
      <c r="D11" s="11"/>
      <c r="E11" s="11"/>
      <c r="F11" s="11">
        <f>MEDIAN(F3:I9)</f>
        <v>111.5</v>
      </c>
      <c r="G11" s="11"/>
      <c r="H11" s="11"/>
      <c r="I11" s="11"/>
      <c r="J11" s="11">
        <f>MEDIAN(J3:M9)</f>
        <v>159</v>
      </c>
      <c r="K11" s="11"/>
      <c r="L11" s="11"/>
      <c r="M11" s="11"/>
      <c r="N11" s="11">
        <f>MEDIAN(N3:Q9)</f>
        <v>176.5</v>
      </c>
      <c r="O11" s="11"/>
      <c r="P11" s="11"/>
      <c r="Q11" s="11"/>
    </row>
    <row r="12" spans="1:17" s="3" customFormat="1" x14ac:dyDescent="0.2"/>
    <row r="13" spans="1:17" s="3" customFormat="1" x14ac:dyDescent="0.2"/>
  </sheetData>
  <mergeCells count="20">
    <mergeCell ref="B10:E10"/>
    <mergeCell ref="F10:I10"/>
    <mergeCell ref="J10:M10"/>
    <mergeCell ref="N10:Q10"/>
    <mergeCell ref="B11:E11"/>
    <mergeCell ref="F11:I11"/>
    <mergeCell ref="J11:M11"/>
    <mergeCell ref="N11:Q11"/>
    <mergeCell ref="B1:E1"/>
    <mergeCell ref="F1:I1"/>
    <mergeCell ref="J1:M1"/>
    <mergeCell ref="N1:Q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48F4-3850-B74F-9916-5707923179ED}">
  <dimension ref="A1:Q11"/>
  <sheetViews>
    <sheetView workbookViewId="0">
      <selection activeCell="A12" sqref="A12:XFD34"/>
    </sheetView>
  </sheetViews>
  <sheetFormatPr baseColWidth="10" defaultRowHeight="16" x14ac:dyDescent="0.2"/>
  <cols>
    <col min="2" max="17" width="4.1640625" customWidth="1"/>
  </cols>
  <sheetData>
    <row r="1" spans="1:17" x14ac:dyDescent="0.2">
      <c r="A1" s="2" t="s">
        <v>6</v>
      </c>
      <c r="B1" s="10" t="s">
        <v>0</v>
      </c>
      <c r="C1" s="10"/>
      <c r="D1" s="10"/>
      <c r="E1" s="10"/>
      <c r="F1" s="10" t="s">
        <v>1</v>
      </c>
      <c r="G1" s="10"/>
      <c r="H1" s="10"/>
      <c r="I1" s="10"/>
      <c r="J1" s="10" t="s">
        <v>4</v>
      </c>
      <c r="K1" s="10"/>
      <c r="L1" s="10"/>
      <c r="M1" s="10"/>
      <c r="N1" s="10" t="s">
        <v>5</v>
      </c>
      <c r="O1" s="10"/>
      <c r="P1" s="10"/>
      <c r="Q1" s="10"/>
    </row>
    <row r="2" spans="1:17" x14ac:dyDescent="0.2">
      <c r="A2" s="2" t="s">
        <v>6</v>
      </c>
      <c r="B2" s="12" t="s">
        <v>7</v>
      </c>
      <c r="C2" s="13"/>
      <c r="D2" s="12" t="s">
        <v>8</v>
      </c>
      <c r="E2" s="13"/>
      <c r="F2" s="12" t="s">
        <v>7</v>
      </c>
      <c r="G2" s="13"/>
      <c r="H2" s="12" t="s">
        <v>8</v>
      </c>
      <c r="I2" s="13"/>
      <c r="J2" s="12" t="s">
        <v>7</v>
      </c>
      <c r="K2" s="13"/>
      <c r="L2" s="12" t="s">
        <v>8</v>
      </c>
      <c r="M2" s="13"/>
      <c r="N2" s="12" t="s">
        <v>7</v>
      </c>
      <c r="O2" s="13"/>
      <c r="P2" s="12" t="s">
        <v>8</v>
      </c>
      <c r="Q2" s="13"/>
    </row>
    <row r="3" spans="1:17" x14ac:dyDescent="0.2">
      <c r="A3" s="2">
        <v>1</v>
      </c>
      <c r="B3" s="6">
        <v>120</v>
      </c>
      <c r="C3" s="6">
        <v>80</v>
      </c>
      <c r="D3" s="6">
        <v>76</v>
      </c>
      <c r="E3" s="6">
        <v>124</v>
      </c>
      <c r="F3" s="6">
        <v>72</v>
      </c>
      <c r="G3" s="6">
        <v>64</v>
      </c>
      <c r="H3" s="6">
        <v>95</v>
      </c>
      <c r="I3" s="6">
        <v>67</v>
      </c>
      <c r="J3" s="6">
        <v>48</v>
      </c>
      <c r="K3" s="6">
        <v>48</v>
      </c>
      <c r="L3" s="6">
        <v>114</v>
      </c>
      <c r="M3" s="6">
        <v>57</v>
      </c>
      <c r="N3" s="6">
        <v>208</v>
      </c>
      <c r="O3" s="6">
        <v>24</v>
      </c>
      <c r="P3" s="6">
        <v>114</v>
      </c>
      <c r="Q3" s="6">
        <v>76</v>
      </c>
    </row>
    <row r="4" spans="1:17" x14ac:dyDescent="0.2">
      <c r="A4" s="2">
        <v>2</v>
      </c>
      <c r="B4" s="6">
        <v>100</v>
      </c>
      <c r="C4" s="6">
        <v>100</v>
      </c>
      <c r="D4" s="6">
        <v>170</v>
      </c>
      <c r="E4" s="6">
        <v>30</v>
      </c>
      <c r="F4" s="6">
        <v>183</v>
      </c>
      <c r="G4" s="6">
        <v>91</v>
      </c>
      <c r="H4" s="6">
        <v>72</v>
      </c>
      <c r="I4" s="6">
        <v>128</v>
      </c>
      <c r="J4" s="6">
        <v>137</v>
      </c>
      <c r="K4" s="6">
        <v>251</v>
      </c>
      <c r="L4" s="6">
        <v>144</v>
      </c>
      <c r="M4" s="6">
        <v>80</v>
      </c>
      <c r="N4" s="6">
        <v>103</v>
      </c>
      <c r="O4" s="6">
        <v>57</v>
      </c>
      <c r="P4" s="6">
        <v>80</v>
      </c>
      <c r="Q4" s="6">
        <v>160</v>
      </c>
    </row>
    <row r="5" spans="1:17" x14ac:dyDescent="0.2">
      <c r="A5" s="2">
        <v>3</v>
      </c>
      <c r="B5" s="6">
        <v>133</v>
      </c>
      <c r="C5" s="6">
        <v>67</v>
      </c>
      <c r="D5" s="6">
        <v>123</v>
      </c>
      <c r="E5" s="6">
        <v>77</v>
      </c>
      <c r="F5" s="6">
        <v>48</v>
      </c>
      <c r="G5" s="6">
        <v>10</v>
      </c>
      <c r="H5" s="6">
        <v>39</v>
      </c>
      <c r="I5" s="6">
        <v>84</v>
      </c>
      <c r="J5" s="6">
        <v>57</v>
      </c>
      <c r="K5" s="6">
        <v>48</v>
      </c>
      <c r="L5" s="6">
        <v>90</v>
      </c>
      <c r="M5" s="6">
        <v>13</v>
      </c>
      <c r="N5" s="6">
        <v>143</v>
      </c>
      <c r="O5" s="6">
        <v>10</v>
      </c>
      <c r="P5" s="6">
        <v>19</v>
      </c>
      <c r="Q5" s="6">
        <v>32</v>
      </c>
    </row>
    <row r="6" spans="1:17" x14ac:dyDescent="0.2">
      <c r="A6" s="2">
        <v>4</v>
      </c>
      <c r="B6" s="6">
        <v>127</v>
      </c>
      <c r="C6" s="6">
        <v>73</v>
      </c>
      <c r="D6" s="6">
        <v>122</v>
      </c>
      <c r="E6" s="6">
        <v>78</v>
      </c>
      <c r="F6" s="6">
        <v>45</v>
      </c>
      <c r="G6" s="6">
        <v>55</v>
      </c>
      <c r="H6" s="6">
        <v>52</v>
      </c>
      <c r="I6" s="6">
        <v>43</v>
      </c>
      <c r="J6" s="6">
        <v>73</v>
      </c>
      <c r="K6" s="6">
        <v>55</v>
      </c>
      <c r="L6" s="6">
        <v>35</v>
      </c>
      <c r="M6" s="6">
        <v>17</v>
      </c>
      <c r="N6" s="6">
        <v>164</v>
      </c>
      <c r="O6" s="6">
        <v>18</v>
      </c>
      <c r="P6" s="6">
        <v>78</v>
      </c>
      <c r="Q6" s="6">
        <v>52</v>
      </c>
    </row>
    <row r="7" spans="1:17" x14ac:dyDescent="0.2">
      <c r="A7" s="2">
        <v>5</v>
      </c>
      <c r="B7" s="6">
        <v>94</v>
      </c>
      <c r="C7" s="6">
        <v>106</v>
      </c>
      <c r="D7" s="6">
        <v>147</v>
      </c>
      <c r="E7" s="6">
        <v>53</v>
      </c>
      <c r="F7" s="6">
        <v>31</v>
      </c>
      <c r="G7" s="6">
        <v>13</v>
      </c>
      <c r="H7" s="6">
        <v>213</v>
      </c>
      <c r="I7" s="6">
        <v>160</v>
      </c>
      <c r="J7" s="6">
        <v>38</v>
      </c>
      <c r="K7" s="6">
        <v>181</v>
      </c>
      <c r="L7" s="6">
        <v>160</v>
      </c>
      <c r="M7" s="6">
        <v>80</v>
      </c>
      <c r="N7" s="6">
        <v>50</v>
      </c>
      <c r="O7" s="6">
        <v>44</v>
      </c>
      <c r="P7" s="6">
        <v>107</v>
      </c>
      <c r="Q7" s="6">
        <v>240</v>
      </c>
    </row>
    <row r="8" spans="1:17" x14ac:dyDescent="0.2">
      <c r="A8" s="2">
        <v>6</v>
      </c>
      <c r="B8" s="6">
        <v>107</v>
      </c>
      <c r="C8" s="6">
        <v>93</v>
      </c>
      <c r="D8" s="6">
        <v>147</v>
      </c>
      <c r="E8" s="6">
        <v>53</v>
      </c>
      <c r="F8" s="6">
        <v>133</v>
      </c>
      <c r="G8" s="6">
        <v>53</v>
      </c>
      <c r="H8" s="6">
        <v>33</v>
      </c>
      <c r="I8" s="6">
        <v>20</v>
      </c>
      <c r="J8" s="6">
        <v>40</v>
      </c>
      <c r="K8" s="6">
        <v>53</v>
      </c>
      <c r="L8" s="6">
        <v>80</v>
      </c>
      <c r="M8" s="6">
        <v>20</v>
      </c>
      <c r="N8" s="6">
        <v>267</v>
      </c>
      <c r="O8" s="6">
        <v>27</v>
      </c>
      <c r="P8" s="6">
        <v>87</v>
      </c>
      <c r="Q8" s="6">
        <v>60</v>
      </c>
    </row>
    <row r="9" spans="1:17" x14ac:dyDescent="0.2">
      <c r="A9" s="2">
        <v>7</v>
      </c>
      <c r="B9" s="6">
        <v>118</v>
      </c>
      <c r="C9" s="6">
        <v>82</v>
      </c>
      <c r="D9" s="6">
        <v>75</v>
      </c>
      <c r="E9" s="6">
        <v>125</v>
      </c>
      <c r="F9" s="6">
        <v>106</v>
      </c>
      <c r="G9" s="6">
        <v>71</v>
      </c>
      <c r="H9" s="6">
        <v>75</v>
      </c>
      <c r="I9" s="6">
        <v>125</v>
      </c>
      <c r="J9" s="6">
        <v>47</v>
      </c>
      <c r="K9" s="6">
        <v>47</v>
      </c>
      <c r="L9" s="6">
        <v>125</v>
      </c>
      <c r="M9" s="6">
        <v>38</v>
      </c>
      <c r="N9" s="6">
        <v>94</v>
      </c>
      <c r="O9" s="6">
        <v>0</v>
      </c>
      <c r="P9" s="6">
        <v>88</v>
      </c>
      <c r="Q9" s="6">
        <v>238</v>
      </c>
    </row>
    <row r="10" spans="1:17" x14ac:dyDescent="0.2">
      <c r="A10" s="7" t="s">
        <v>2</v>
      </c>
      <c r="B10" s="11">
        <f>AVERAGE(B3:E9)</f>
        <v>100</v>
      </c>
      <c r="C10" s="11"/>
      <c r="D10" s="11"/>
      <c r="E10" s="11"/>
      <c r="F10" s="11">
        <f>AVERAGE(F3:I9)</f>
        <v>77.892857142857139</v>
      </c>
      <c r="G10" s="11"/>
      <c r="H10" s="11"/>
      <c r="I10" s="11"/>
      <c r="J10" s="11">
        <f>AVERAGE(J3:M9)</f>
        <v>77.714285714285708</v>
      </c>
      <c r="K10" s="11"/>
      <c r="L10" s="11"/>
      <c r="M10" s="11"/>
      <c r="N10" s="11">
        <f>AVERAGE(N3:Q9)</f>
        <v>94.285714285714292</v>
      </c>
      <c r="O10" s="11"/>
      <c r="P10" s="11"/>
      <c r="Q10" s="11"/>
    </row>
    <row r="11" spans="1:17" x14ac:dyDescent="0.2">
      <c r="A11" s="7" t="s">
        <v>3</v>
      </c>
      <c r="B11" s="11">
        <f>MEDIAN(B3:E9)</f>
        <v>100</v>
      </c>
      <c r="C11" s="11"/>
      <c r="D11" s="11"/>
      <c r="E11" s="11"/>
      <c r="F11" s="11">
        <f>MEDIAN(F3:I9)</f>
        <v>69</v>
      </c>
      <c r="G11" s="11"/>
      <c r="H11" s="11"/>
      <c r="I11" s="11"/>
      <c r="J11" s="11">
        <f>MEDIAN(J3:M9)</f>
        <v>56</v>
      </c>
      <c r="K11" s="11"/>
      <c r="L11" s="11"/>
      <c r="M11" s="11"/>
      <c r="N11" s="11">
        <f>MEDIAN(N3:Q9)</f>
        <v>79</v>
      </c>
      <c r="O11" s="11"/>
      <c r="P11" s="11"/>
      <c r="Q11" s="11"/>
    </row>
  </sheetData>
  <mergeCells count="20">
    <mergeCell ref="B11:E11"/>
    <mergeCell ref="F11:I11"/>
    <mergeCell ref="J11:M11"/>
    <mergeCell ref="N11:Q11"/>
    <mergeCell ref="B1:E1"/>
    <mergeCell ref="F1:I1"/>
    <mergeCell ref="J1:M1"/>
    <mergeCell ref="N1:Q1"/>
    <mergeCell ref="B10:E10"/>
    <mergeCell ref="F10:I10"/>
    <mergeCell ref="J10:M10"/>
    <mergeCell ref="N10:Q10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Right Hind Stride</vt:lpstr>
      <vt:lpstr>Left Hind Swing</vt:lpstr>
      <vt:lpstr>BOS Front Paw</vt:lpstr>
      <vt:lpstr>BOS Hind Paw</vt:lpstr>
      <vt:lpstr>Tail Erect Time</vt:lpstr>
      <vt:lpstr>Move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Davis</dc:creator>
  <cp:lastModifiedBy>William Christensen</cp:lastModifiedBy>
  <dcterms:created xsi:type="dcterms:W3CDTF">2026-02-12T15:18:32Z</dcterms:created>
  <dcterms:modified xsi:type="dcterms:W3CDTF">2026-07-22T19:15:44Z</dcterms:modified>
</cp:coreProperties>
</file>